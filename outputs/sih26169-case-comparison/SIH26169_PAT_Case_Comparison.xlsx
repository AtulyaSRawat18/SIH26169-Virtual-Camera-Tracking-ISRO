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e4f0af42ce4f49" /></Relationships>
</file>

<file path=xl/workbook.xml><?xml version="1.0" encoding="utf-8"?>
<x:workbook xmlns:x="http://schemas.openxmlformats.org/spreadsheetml/2006/main">
  <x:sheets>
    <x:sheet xmlns:r="http://schemas.openxmlformats.org/officeDocument/2006/relationships" name="Comparison" sheetId="1" r:id="Re13f98d4acc84ab2"/>
    <x:sheet xmlns:r="http://schemas.openxmlformats.org/officeDocument/2006/relationships" name="Best replay seeds" sheetId="2" r:id="Re65afca0a8044074"/>
    <x:sheet xmlns:r="http://schemas.openxmlformats.org/officeDocument/2006/relationships" name="Sources &amp; method" sheetId="3" r:id="R5564f69c4b9844c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
    <x:numFmt numFmtId="201" formatCode="0.0%;[Red]-0.0%"/>
    <x:numFmt numFmtId="202" formatCode="0.0%"/>
    <x:numFmt numFmtId="203" formatCode="0.0"/>
    <x:numFmt numFmtId="204" formatCode="0.00"/>
    <x:numFmt numFmtId="205" formatCode="0"/>
  </x:numFmts>
  <x:fonts count="20">
    <x:font>
      <x:sz val="11"/>
      <x:name val="Carlito"/>
    </x:font>
    <x:font>
      <x:sz val="10"/>
      <x:color rgb="FF1F2937"/>
      <x:name val="Aptos"/>
    </x:font>
    <x:font>
      <x:b/>
      <x:sz val="20"/>
      <x:color rgb="FFFFFFFF"/>
      <x:name val="Aptos"/>
    </x:font>
    <x:font>
      <x:i/>
      <x:sz val="11"/>
      <x:color rgb="FFD9EAF7"/>
      <x:name val="Aptos"/>
    </x:font>
    <x:font>
      <x:b/>
      <x:sz val="10"/>
      <x:color rgb="FF17365D"/>
      <x:name val="Aptos"/>
    </x:font>
    <x:font>
      <x:b/>
      <x:sz val="9"/>
      <x:color rgb="FF17365D"/>
      <x:name val="Aptos"/>
    </x:font>
    <x:font>
      <x:b/>
      <x:sz val="16"/>
      <x:color rgb="FF17365D"/>
      <x:name val="Aptos"/>
    </x:font>
    <x:font>
      <x:b/>
      <x:sz val="10"/>
      <x:color rgb="FF375623"/>
      <x:name val="Aptos"/>
    </x:font>
    <x:font>
      <x:b/>
      <x:sz val="9"/>
      <x:color rgb="FF375623"/>
      <x:name val="Aptos"/>
    </x:font>
    <x:font>
      <x:b/>
      <x:sz val="16"/>
      <x:color rgb="FF375623"/>
      <x:name val="Aptos"/>
    </x:font>
    <x:font>
      <x:b/>
      <x:sz val="10"/>
      <x:color rgb="FF9C0006"/>
      <x:name val="Aptos"/>
    </x:font>
    <x:font>
      <x:b/>
      <x:sz val="9"/>
      <x:color rgb="FF9C0006"/>
      <x:name val="Aptos"/>
    </x:font>
    <x:font>
      <x:b/>
      <x:sz val="16"/>
      <x:color rgb="FF9C0006"/>
      <x:name val="Aptos"/>
    </x:font>
    <x:font>
      <x:b/>
      <x:sz val="10"/>
      <x:color rgb="FF7F6000"/>
      <x:name val="Aptos"/>
    </x:font>
    <x:font>
      <x:b/>
      <x:sz val="9"/>
      <x:color rgb="FF7F6000"/>
      <x:name val="Aptos"/>
    </x:font>
    <x:font>
      <x:b/>
      <x:sz val="16"/>
      <x:color rgb="FF7F6000"/>
      <x:name val="Aptos"/>
    </x:font>
    <x:font>
      <x:b/>
      <x:sz val="9"/>
      <x:color rgb="FFFFFFFF"/>
      <x:name val="Aptos"/>
    </x:font>
    <x:font>
      <x:b/>
      <x:sz val="10"/>
      <x:color rgb="FFFFFFFF"/>
      <x:name val="Aptos"/>
    </x:font>
    <x:font>
      <x:sz val="10"/>
      <x:color rgb="FF5B6573"/>
      <x:name val="Aptos"/>
    </x:font>
    <x:font>
      <x:b/>
      <x:sz val="19"/>
      <x:color rgb="FFFFFFFF"/>
      <x:name val="Aptos"/>
    </x:font>
  </x:fonts>
  <x:fills count="10">
    <x:fill>
      <x:patternFill patternType="none"/>
    </x:fill>
    <x:fill>
      <x:patternFill patternType="gray125"/>
    </x:fill>
    <x:fill>
      <x:patternFill patternType="solid">
        <x:fgColor rgb="FF17365D"/>
      </x:patternFill>
    </x:fill>
    <x:fill>
      <x:patternFill patternType="solid">
        <x:fgColor rgb="FF203864"/>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F5F8FB"/>
      </x:patternFill>
    </x:fill>
    <x:fill>
      <x:patternFill patternType="solid">
        <x:fgColor rgb="FF00A6A6"/>
      </x:patternFill>
    </x:fill>
  </x:fills>
  <x:borders count="8">
    <x:border/>
    <x:border>
      <x:left style="thin">
        <x:color rgb="FFCAD5E0"/>
      </x:left>
      <x:top style="thin">
        <x:color rgb="FFCAD5E0"/>
      </x:top>
    </x:border>
    <x:border>
      <x:top style="thin">
        <x:color rgb="FFCAD5E0"/>
      </x:top>
    </x:border>
    <x:border>
      <x:right style="thin">
        <x:color rgb="FFCAD5E0"/>
      </x:right>
      <x:top style="thin">
        <x:color rgb="FFCAD5E0"/>
      </x:top>
    </x:border>
    <x:border>
      <x:left style="thin">
        <x:color rgb="FFCAD5E0"/>
      </x:left>
      <x:bottom style="thin">
        <x:color rgb="FFCAD5E0"/>
      </x:bottom>
    </x:border>
    <x:border>
      <x:bottom style="thin">
        <x:color rgb="FFCAD5E0"/>
      </x:bottom>
    </x:border>
    <x:border>
      <x:right style="thin">
        <x:color rgb="FFCAD5E0"/>
      </x:right>
      <x:bottom style="thin">
        <x:color rgb="FFCAD5E0"/>
      </x:bottom>
    </x:border>
    <x:border>
      <x:left style="thin">
        <x:color rgb="FFCAD5E0"/>
      </x:left>
      <x:right style="thin">
        <x:color rgb="FFCAD5E0"/>
      </x:right>
      <x:top style="thin">
        <x:color rgb="FFCAD5E0"/>
      </x:top>
      <x:bottom style="thin">
        <x:color rgb="FFCAD5E0"/>
      </x:bottom>
    </x:border>
  </x:borders>
  <x:cellStyleXfs count="1">
    <x:xf numFmtId="0" fontId="0" fillId="0" borderId="0"/>
  </x:cellStyleXfs>
  <x:cellXfs count="15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1" xfId="0" applyNumberFormat="1" applyFont="1" applyFill="1" applyBorder="1" applyAlignment="1">
      <x:alignment horizontal="center"/>
    </x:xf>
    <x:xf numFmtId="0" fontId="4" fillId="4" borderId="2" xfId="0" applyNumberFormat="1" applyFont="1" applyFill="1" applyBorder="1" applyAlignment="1">
      <x:alignment horizontal="center"/>
    </x:xf>
    <x:xf numFmtId="0" fontId="4" fillId="4" borderId="3" xfId="0" applyNumberFormat="1" applyFont="1" applyFill="1" applyBorder="1" applyAlignment="1">
      <x:alignment horizontal="center"/>
    </x:xf>
    <x:xf numFmtId="0" fontId="4" fillId="4" borderId="4" xfId="0" applyNumberFormat="1" applyFont="1" applyFill="1" applyBorder="1" applyAlignment="1">
      <x:alignment horizontal="center"/>
    </x:xf>
    <x:xf numFmtId="0" fontId="4" fillId="4" borderId="5" xfId="0" applyNumberFormat="1" applyFont="1" applyFill="1" applyBorder="1" applyAlignment="1">
      <x:alignment horizontal="center"/>
    </x:xf>
    <x:xf numFmtId="0" fontId="4" fillId="4" borderId="6"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4" fillId="4" borderId="2" xfId="0" applyNumberFormat="1" applyFont="1" applyFill="1" applyBorder="1" applyAlignment="1">
      <x:alignment horizontal="center" vertical="center"/>
    </x:xf>
    <x:xf numFmtId="0" fontId="4" fillId="4" borderId="3" xfId="0" applyNumberFormat="1" applyFont="1" applyFill="1" applyBorder="1" applyAlignment="1">
      <x:alignment horizontal="center" vertical="center"/>
    </x:xf>
    <x:xf numFmtId="0" fontId="4" fillId="4" borderId="4" xfId="0" applyNumberFormat="1" applyFont="1" applyFill="1" applyBorder="1" applyAlignment="1">
      <x:alignment horizontal="center" vertical="center"/>
    </x:xf>
    <x:xf numFmtId="0" fontId="4" fillId="4" borderId="5" xfId="0" applyNumberFormat="1" applyFont="1" applyFill="1" applyBorder="1" applyAlignment="1">
      <x:alignment horizontal="center" vertical="center"/>
    </x:xf>
    <x:xf numFmtId="0" fontId="4" fillId="4" borderId="6" xfId="0" applyNumberFormat="1" applyFont="1" applyFill="1" applyBorder="1" applyAlignment="1">
      <x:alignment horizontal="center" vertical="center"/>
    </x:xf>
    <x:xf numFmtId="0" fontId="5" fillId="4" borderId="1" xfId="0" applyNumberFormat="1" applyFont="1" applyFill="1" applyBorder="1" applyAlignment="1">
      <x:alignment horizontal="center" vertical="center"/>
    </x:xf>
    <x:xf numFmtId="0" fontId="5" fillId="4" borderId="2" xfId="0" applyNumberFormat="1" applyFont="1" applyFill="1" applyBorder="1" applyAlignment="1">
      <x:alignment horizontal="center" vertical="center"/>
    </x:xf>
    <x:xf numFmtId="0" fontId="5"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4" borderId="5" xfId="0" applyNumberFormat="1" applyFont="1" applyFill="1" applyBorder="1" applyAlignment="1">
      <x:alignment horizontal="center" vertical="center"/>
    </x:xf>
    <x:xf numFmtId="0" fontId="6" fillId="4" borderId="6" xfId="0" applyNumberFormat="1" applyFont="1" applyFill="1" applyBorder="1" applyAlignment="1">
      <x:alignment horizontal="center" vertical="center"/>
    </x:xf>
    <x:xf numFmtId="0" fontId="1" fillId="5" borderId="0" xfId="0" applyNumberFormat="1" applyFont="1" applyFill="1" applyBorder="1"/>
    <x:xf numFmtId="0" fontId="7" fillId="5" borderId="0" xfId="0" applyNumberFormat="1" applyFont="1" applyFill="1" applyBorder="1"/>
    <x:xf numFmtId="0" fontId="7" fillId="5" borderId="1"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1" xfId="0" applyNumberFormat="1" applyFont="1" applyFill="1" applyBorder="1" applyAlignment="1">
      <x:alignment horizontal="center"/>
    </x:xf>
    <x:xf numFmtId="0" fontId="7" fillId="5" borderId="2" xfId="0" applyNumberFormat="1" applyFont="1" applyFill="1" applyBorder="1" applyAlignment="1">
      <x:alignment horizontal="center"/>
    </x:xf>
    <x:xf numFmtId="0" fontId="7" fillId="5" borderId="3" xfId="0" applyNumberFormat="1" applyFont="1" applyFill="1" applyBorder="1" applyAlignment="1">
      <x:alignment horizontal="center"/>
    </x:xf>
    <x:xf numFmtId="0" fontId="7" fillId="5" borderId="4" xfId="0" applyNumberFormat="1" applyFont="1" applyFill="1" applyBorder="1" applyAlignment="1">
      <x:alignment horizontal="center"/>
    </x:xf>
    <x:xf numFmtId="0" fontId="7" fillId="5" borderId="5" xfId="0" applyNumberFormat="1" applyFont="1" applyFill="1" applyBorder="1" applyAlignment="1">
      <x:alignment horizontal="center"/>
    </x:xf>
    <x:xf numFmtId="0" fontId="7" fillId="5" borderId="6" xfId="0" applyNumberFormat="1" applyFont="1" applyFill="1" applyBorder="1" applyAlignment="1">
      <x:alignment horizontal="center"/>
    </x:xf>
    <x:xf numFmtId="0" fontId="7" fillId="5" borderId="1" xfId="0" applyNumberFormat="1" applyFont="1" applyFill="1" applyBorder="1" applyAlignment="1">
      <x:alignment horizontal="center" vertical="center"/>
    </x:xf>
    <x:xf numFmtId="0" fontId="7" fillId="5" borderId="2" xfId="0" applyNumberFormat="1" applyFont="1" applyFill="1" applyBorder="1" applyAlignment="1">
      <x:alignment horizontal="center" vertical="center"/>
    </x:xf>
    <x:xf numFmtId="0" fontId="7" fillId="5" borderId="3" xfId="0" applyNumberFormat="1" applyFont="1" applyFill="1" applyBorder="1" applyAlignment="1">
      <x:alignment horizontal="center" vertical="center"/>
    </x:xf>
    <x:xf numFmtId="0" fontId="7" fillId="5" borderId="4" xfId="0" applyNumberFormat="1" applyFont="1" applyFill="1" applyBorder="1" applyAlignment="1">
      <x:alignment horizontal="center" vertical="center"/>
    </x:xf>
    <x:xf numFmtId="0" fontId="7" fillId="5" borderId="5" xfId="0" applyNumberFormat="1" applyFont="1" applyFill="1" applyBorder="1" applyAlignment="1">
      <x:alignment horizontal="center" vertical="center"/>
    </x:xf>
    <x:xf numFmtId="0" fontId="7" fillId="5" borderId="6" xfId="0" applyNumberFormat="1" applyFont="1" applyFill="1" applyBorder="1" applyAlignment="1">
      <x:alignment horizontal="center" vertical="center"/>
    </x:xf>
    <x:xf numFmtId="0" fontId="8" fillId="5" borderId="1" xfId="0" applyNumberFormat="1" applyFont="1" applyFill="1" applyBorder="1" applyAlignment="1">
      <x:alignment horizontal="center" vertical="center"/>
    </x:xf>
    <x:xf numFmtId="0" fontId="8" fillId="5" borderId="2" xfId="0" applyNumberFormat="1" applyFont="1" applyFill="1" applyBorder="1" applyAlignment="1">
      <x:alignment horizontal="center" vertical="center"/>
    </x:xf>
    <x:xf numFmtId="0" fontId="8" fillId="5" borderId="3" xfId="0" applyNumberFormat="1" applyFont="1" applyFill="1" applyBorder="1" applyAlignment="1">
      <x:alignment horizontal="center" vertical="center"/>
    </x:xf>
    <x:xf numFmtId="0" fontId="9" fillId="5" borderId="4" xfId="0" applyNumberFormat="1" applyFont="1" applyFill="1" applyBorder="1" applyAlignment="1">
      <x:alignment horizontal="center" vertical="center"/>
    </x:xf>
    <x:xf numFmtId="0" fontId="9" fillId="5" borderId="5" xfId="0" applyNumberFormat="1" applyFont="1" applyFill="1" applyBorder="1" applyAlignment="1">
      <x:alignment horizontal="center" vertical="center"/>
    </x:xf>
    <x:xf numFmtId="0" fontId="9" fillId="5" borderId="6" xfId="0" applyNumberFormat="1" applyFont="1" applyFill="1" applyBorder="1" applyAlignment="1">
      <x:alignment horizontal="center" vertical="center"/>
    </x:xf>
    <x:xf numFmtId="0" fontId="1" fillId="6" borderId="0" xfId="0" applyNumberFormat="1" applyFont="1" applyFill="1" applyBorder="1"/>
    <x:xf numFmtId="0" fontId="10" fillId="6" borderId="0" xfId="0" applyNumberFormat="1" applyFont="1" applyFill="1" applyBorder="1"/>
    <x:xf numFmtId="0" fontId="10" fillId="6" borderId="1" xfId="0" applyNumberFormat="1" applyFont="1" applyFill="1" applyBorder="1"/>
    <x:xf numFmtId="0" fontId="10" fillId="6" borderId="2" xfId="0" applyNumberFormat="1" applyFont="1" applyFill="1" applyBorder="1"/>
    <x:xf numFmtId="0" fontId="10" fillId="6" borderId="3" xfId="0" applyNumberFormat="1" applyFont="1" applyFill="1" applyBorder="1"/>
    <x:xf numFmtId="0" fontId="10" fillId="6" borderId="4" xfId="0" applyNumberFormat="1" applyFont="1" applyFill="1" applyBorder="1"/>
    <x:xf numFmtId="0" fontId="10" fillId="6" borderId="5" xfId="0" applyNumberFormat="1" applyFont="1" applyFill="1" applyBorder="1"/>
    <x:xf numFmtId="0" fontId="10" fillId="6" borderId="6" xfId="0" applyNumberFormat="1" applyFont="1" applyFill="1" applyBorder="1"/>
    <x:xf numFmtId="0" fontId="10" fillId="6" borderId="1" xfId="0" applyNumberFormat="1" applyFont="1" applyFill="1" applyBorder="1" applyAlignment="1">
      <x:alignment horizontal="center"/>
    </x:xf>
    <x:xf numFmtId="0" fontId="10" fillId="6" borderId="2" xfId="0" applyNumberFormat="1" applyFont="1" applyFill="1" applyBorder="1" applyAlignment="1">
      <x:alignment horizontal="center"/>
    </x:xf>
    <x:xf numFmtId="0" fontId="10" fillId="6" borderId="3" xfId="0" applyNumberFormat="1" applyFont="1" applyFill="1" applyBorder="1" applyAlignment="1">
      <x:alignment horizontal="center"/>
    </x:xf>
    <x:xf numFmtId="0" fontId="10" fillId="6" borderId="4" xfId="0" applyNumberFormat="1" applyFont="1" applyFill="1" applyBorder="1" applyAlignment="1">
      <x:alignment horizontal="center"/>
    </x:xf>
    <x:xf numFmtId="0" fontId="10" fillId="6" borderId="5" xfId="0" applyNumberFormat="1" applyFont="1" applyFill="1" applyBorder="1" applyAlignment="1">
      <x:alignment horizontal="center"/>
    </x:xf>
    <x:xf numFmtId="0" fontId="10" fillId="6" borderId="6" xfId="0" applyNumberFormat="1" applyFont="1" applyFill="1" applyBorder="1" applyAlignment="1">
      <x:alignment horizontal="center"/>
    </x:xf>
    <x:xf numFmtId="0" fontId="10" fillId="6" borderId="1" xfId="0" applyNumberFormat="1" applyFont="1" applyFill="1" applyBorder="1" applyAlignment="1">
      <x:alignment horizontal="center" vertical="center"/>
    </x:xf>
    <x:xf numFmtId="0" fontId="10" fillId="6" borderId="2" xfId="0" applyNumberFormat="1" applyFont="1" applyFill="1" applyBorder="1" applyAlignment="1">
      <x:alignment horizontal="center" vertical="center"/>
    </x:xf>
    <x:xf numFmtId="0" fontId="10" fillId="6" borderId="3" xfId="0" applyNumberFormat="1" applyFont="1" applyFill="1" applyBorder="1" applyAlignment="1">
      <x:alignment horizontal="center" vertical="center"/>
    </x:xf>
    <x:xf numFmtId="0" fontId="10" fillId="6" borderId="4" xfId="0" applyNumberFormat="1" applyFont="1" applyFill="1" applyBorder="1" applyAlignment="1">
      <x:alignment horizontal="center" vertical="center"/>
    </x:xf>
    <x:xf numFmtId="0" fontId="10" fillId="6" borderId="5" xfId="0" applyNumberFormat="1" applyFont="1" applyFill="1" applyBorder="1" applyAlignment="1">
      <x:alignment horizontal="center" vertical="center"/>
    </x:xf>
    <x:xf numFmtId="0" fontId="10" fillId="6" borderId="6" xfId="0" applyNumberFormat="1" applyFont="1" applyFill="1" applyBorder="1" applyAlignment="1">
      <x:alignment horizontal="center" vertical="center"/>
    </x:xf>
    <x:xf numFmtId="0" fontId="11" fillId="6" borderId="1" xfId="0" applyNumberFormat="1" applyFont="1" applyFill="1" applyBorder="1" applyAlignment="1">
      <x:alignment horizontal="center" vertical="center"/>
    </x:xf>
    <x:xf numFmtId="0" fontId="11" fillId="6" borderId="2" xfId="0" applyNumberFormat="1" applyFont="1" applyFill="1" applyBorder="1" applyAlignment="1">
      <x:alignment horizontal="center" vertical="center"/>
    </x:xf>
    <x:xf numFmtId="0" fontId="11" fillId="6" borderId="3" xfId="0" applyNumberFormat="1" applyFont="1" applyFill="1" applyBorder="1" applyAlignment="1">
      <x:alignment horizontal="center" vertical="center"/>
    </x:xf>
    <x:xf numFmtId="0"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0" fontId="1" fillId="7" borderId="0" xfId="0" applyNumberFormat="1" applyFont="1" applyFill="1" applyBorder="1"/>
    <x:xf numFmtId="0" fontId="13" fillId="7" borderId="0" xfId="0" applyNumberFormat="1" applyFont="1" applyFill="1" applyBorder="1"/>
    <x:xf numFmtId="0" fontId="13" fillId="7" borderId="1" xfId="0" applyNumberFormat="1" applyFont="1" applyFill="1" applyBorder="1"/>
    <x:xf numFmtId="0" fontId="13" fillId="7" borderId="2" xfId="0" applyNumberFormat="1" applyFont="1" applyFill="1" applyBorder="1"/>
    <x:xf numFmtId="0" fontId="13" fillId="7" borderId="3" xfId="0" applyNumberFormat="1" applyFont="1" applyFill="1" applyBorder="1"/>
    <x:xf numFmtId="0" fontId="13" fillId="7" borderId="4" xfId="0" applyNumberFormat="1" applyFont="1" applyFill="1" applyBorder="1"/>
    <x:xf numFmtId="0" fontId="13" fillId="7" borderId="5" xfId="0" applyNumberFormat="1" applyFont="1" applyFill="1" applyBorder="1"/>
    <x:xf numFmtId="0" fontId="13" fillId="7" borderId="6" xfId="0" applyNumberFormat="1" applyFont="1" applyFill="1" applyBorder="1"/>
    <x:xf numFmtId="0" fontId="13" fillId="7" borderId="1" xfId="0" applyNumberFormat="1" applyFont="1" applyFill="1" applyBorder="1" applyAlignment="1">
      <x:alignment horizontal="center"/>
    </x:xf>
    <x:xf numFmtId="0" fontId="13" fillId="7" borderId="2" xfId="0" applyNumberFormat="1" applyFont="1" applyFill="1" applyBorder="1" applyAlignment="1">
      <x:alignment horizontal="center"/>
    </x:xf>
    <x:xf numFmtId="0" fontId="13" fillId="7" borderId="3" xfId="0" applyNumberFormat="1" applyFont="1" applyFill="1" applyBorder="1" applyAlignment="1">
      <x:alignment horizontal="center"/>
    </x:xf>
    <x:xf numFmtId="0" fontId="13" fillId="7" borderId="4" xfId="0" applyNumberFormat="1" applyFont="1" applyFill="1" applyBorder="1" applyAlignment="1">
      <x:alignment horizontal="center"/>
    </x:xf>
    <x:xf numFmtId="0" fontId="13" fillId="7" borderId="5" xfId="0" applyNumberFormat="1" applyFont="1" applyFill="1" applyBorder="1" applyAlignment="1">
      <x:alignment horizontal="center"/>
    </x:xf>
    <x:xf numFmtId="0" fontId="13" fillId="7" borderId="6" xfId="0" applyNumberFormat="1" applyFont="1" applyFill="1" applyBorder="1" applyAlignment="1">
      <x:alignment horizontal="center"/>
    </x:xf>
    <x:xf numFmtId="0" fontId="13" fillId="7" borderId="1" xfId="0" applyNumberFormat="1" applyFont="1" applyFill="1" applyBorder="1" applyAlignment="1">
      <x:alignment horizontal="center" vertical="center"/>
    </x:xf>
    <x:xf numFmtId="0" fontId="13" fillId="7" borderId="2" xfId="0" applyNumberFormat="1" applyFont="1" applyFill="1" applyBorder="1" applyAlignment="1">
      <x:alignment horizontal="center" vertical="center"/>
    </x:xf>
    <x:xf numFmtId="0" fontId="13" fillId="7" borderId="3" xfId="0" applyNumberFormat="1" applyFont="1" applyFill="1" applyBorder="1" applyAlignment="1">
      <x:alignment horizontal="center" vertical="center"/>
    </x:xf>
    <x:xf numFmtId="0" fontId="13" fillId="7" borderId="4" xfId="0" applyNumberFormat="1" applyFont="1" applyFill="1" applyBorder="1" applyAlignment="1">
      <x:alignment horizontal="center" vertical="center"/>
    </x:xf>
    <x:xf numFmtId="0" fontId="13" fillId="7" borderId="5" xfId="0" applyNumberFormat="1" applyFont="1" applyFill="1" applyBorder="1" applyAlignment="1">
      <x:alignment horizontal="center" vertical="center"/>
    </x:xf>
    <x:xf numFmtId="0" fontId="13" fillId="7" borderId="6" xfId="0" applyNumberFormat="1" applyFont="1" applyFill="1" applyBorder="1" applyAlignment="1">
      <x:alignment horizontal="center" vertical="center"/>
    </x:xf>
    <x:xf numFmtId="0" fontId="14" fillId="7" borderId="1" xfId="0" applyNumberFormat="1" applyFont="1" applyFill="1" applyBorder="1" applyAlignment="1">
      <x:alignment horizontal="center" vertical="center"/>
    </x:xf>
    <x:xf numFmtId="0" fontId="14" fillId="7" borderId="2" xfId="0" applyNumberFormat="1" applyFont="1" applyFill="1" applyBorder="1" applyAlignment="1">
      <x:alignment horizontal="center" vertical="center"/>
    </x:xf>
    <x:xf numFmtId="0" fontId="14" fillId="7" borderId="3" xfId="0" applyNumberFormat="1" applyFont="1" applyFill="1" applyBorder="1" applyAlignment="1">
      <x:alignment horizontal="center" vertical="center"/>
    </x:xf>
    <x:xf numFmtId="0" fontId="15" fillId="7" borderId="4" xfId="0" applyNumberFormat="1" applyFont="1" applyFill="1" applyBorder="1" applyAlignment="1">
      <x:alignment horizontal="center" vertical="center"/>
    </x:xf>
    <x:xf numFmtId="0" fontId="15" fillId="7" borderId="5" xfId="0" applyNumberFormat="1" applyFont="1" applyFill="1" applyBorder="1" applyAlignment="1">
      <x:alignment horizontal="center" vertical="center"/>
    </x:xf>
    <x:xf numFmtId="0" fontId="15" fillId="7" borderId="6" xfId="0" applyNumberFormat="1" applyFont="1" applyFill="1" applyBorder="1" applyAlignment="1">
      <x:alignment horizontal="center" vertical="center"/>
    </x:xf>
    <x:xf numFmtId="0" fontId="13" fillId="7" borderId="0" xfId="0" applyNumberFormat="1" applyFont="1" applyFill="1" applyBorder="1" applyAlignment="1">
      <x:alignment wrapText="1"/>
    </x:xf>
    <x:xf numFmtId="0" fontId="16" fillId="2" borderId="0" xfId="0" applyNumberFormat="1" applyFont="1" applyFill="1" applyBorder="1"/>
    <x:xf numFmtId="0" fontId="16" fillId="2" borderId="7" xfId="0" applyNumberFormat="1" applyFont="1" applyFill="1" applyBorder="1"/>
    <x:xf numFmtId="0" fontId="16" fillId="2" borderId="7" xfId="0" applyNumberFormat="1" applyFont="1" applyFill="1" applyBorder="1" applyAlignment="1">
      <x:alignment wrapText="1"/>
    </x:xf>
    <x:xf numFmtId="0" fontId="16" fillId="2" borderId="7" xfId="0" applyNumberFormat="1" applyFont="1" applyFill="1" applyBorder="1" applyAlignment="1">
      <x:alignment vertical="center" wrapText="1"/>
    </x:xf>
    <x:xf numFmtId="0" fontId="1" fillId="0" borderId="7" xfId="0" applyNumberFormat="1" applyFont="1" applyFill="1" applyBorder="1"/>
    <x:xf numFmtId="0" fontId="1" fillId="0" borderId="7" xfId="0" applyNumberFormat="1" applyFont="1" applyFill="1" applyBorder="1" applyAlignment="1">
      <x:alignment wrapText="1"/>
    </x:xf>
    <x:xf numFmtId="0" fontId="1" fillId="0" borderId="7" xfId="0" applyNumberFormat="1" applyFont="1" applyFill="1" applyBorder="1" applyAlignment="1">
      <x:alignment vertical="top" wrapText="1"/>
    </x:xf>
    <x:xf numFmtId="200" fontId="1" fillId="0" borderId="7" xfId="0" applyNumberFormat="1" applyFont="1" applyFill="1" applyBorder="1" applyAlignment="1">
      <x:alignment vertical="top" wrapText="1"/>
    </x:xf>
    <x:xf numFmtId="201" fontId="1" fillId="0" borderId="7" xfId="0" applyNumberFormat="1" applyFont="1" applyFill="1" applyBorder="1" applyAlignment="1">
      <x:alignment vertical="top" wrapText="1"/>
    </x:xf>
    <x:xf numFmtId="202" fontId="1" fillId="0" borderId="7" xfId="0" applyNumberFormat="1" applyFont="1" applyFill="1" applyBorder="1" applyAlignment="1">
      <x:alignment vertical="top" wrapText="1"/>
    </x:xf>
    <x:xf numFmtId="203" fontId="1" fillId="0" borderId="7" xfId="0" applyNumberFormat="1" applyFont="1" applyFill="1" applyBorder="1" applyAlignment="1">
      <x:alignment vertical="top" wrapText="1"/>
    </x:xf>
    <x:xf numFmtId="204" fontId="1" fillId="0" borderId="7" xfId="0" applyNumberFormat="1" applyFont="1" applyFill="1" applyBorder="1" applyAlignment="1">
      <x:alignment vertical="top" wrapText="1"/>
    </x:xf>
    <x:xf numFmtId="205" fontId="1" fillId="0" borderId="7" xfId="0" applyNumberFormat="1" applyFont="1" applyFill="1" applyBorder="1" applyAlignment="1">
      <x:alignment vertical="top" wrapText="1"/>
    </x:xf>
    <x:xf numFmtId="200" fontId="1" fillId="0" borderId="0" xfId="0" applyNumberFormat="1" applyFont="1" applyFill="1" applyBorder="1"/>
    <x:xf numFmtId="0" fontId="17" fillId="3" borderId="0" xfId="0" applyNumberFormat="1" applyFont="1" applyFill="1" applyBorder="1"/>
    <x:xf numFmtId="0" fontId="1" fillId="8" borderId="0" xfId="0" applyNumberFormat="1" applyFont="1" applyFill="1" applyBorder="1"/>
    <x:xf numFmtId="0" fontId="18" fillId="8" borderId="0" xfId="0" applyNumberFormat="1" applyFont="1" applyFill="1" applyBorder="1"/>
    <x:xf numFmtId="0" fontId="18" fillId="8" borderId="1" xfId="0" applyNumberFormat="1" applyFont="1" applyFill="1" applyBorder="1"/>
    <x:xf numFmtId="0" fontId="18" fillId="8" borderId="2" xfId="0" applyNumberFormat="1" applyFont="1" applyFill="1" applyBorder="1"/>
    <x:xf numFmtId="0" fontId="18" fillId="8" borderId="3" xfId="0" applyNumberFormat="1" applyFont="1" applyFill="1" applyBorder="1"/>
    <x:xf numFmtId="0" fontId="18" fillId="8" borderId="4" xfId="0" applyNumberFormat="1" applyFont="1" applyFill="1" applyBorder="1"/>
    <x:xf numFmtId="0" fontId="18" fillId="8" borderId="5" xfId="0" applyNumberFormat="1" applyFont="1" applyFill="1" applyBorder="1"/>
    <x:xf numFmtId="0" fontId="18" fillId="8" borderId="6" xfId="0" applyNumberFormat="1" applyFont="1" applyFill="1" applyBorder="1"/>
    <x:xf numFmtId="0" fontId="18" fillId="8" borderId="1" xfId="0" applyNumberFormat="1" applyFont="1" applyFill="1" applyBorder="1" applyAlignment="1">
      <x:alignment wrapText="1"/>
    </x:xf>
    <x:xf numFmtId="0" fontId="18" fillId="8" borderId="2" xfId="0" applyNumberFormat="1" applyFont="1" applyFill="1" applyBorder="1" applyAlignment="1">
      <x:alignment wrapText="1"/>
    </x:xf>
    <x:xf numFmtId="0" fontId="18" fillId="8" borderId="3" xfId="0" applyNumberFormat="1" applyFont="1" applyFill="1" applyBorder="1" applyAlignment="1">
      <x:alignment wrapText="1"/>
    </x:xf>
    <x:xf numFmtId="0" fontId="18" fillId="8" borderId="4" xfId="0" applyNumberFormat="1" applyFont="1" applyFill="1" applyBorder="1" applyAlignment="1">
      <x:alignment wrapText="1"/>
    </x:xf>
    <x:xf numFmtId="0" fontId="18" fillId="8" borderId="5" xfId="0" applyNumberFormat="1" applyFont="1" applyFill="1" applyBorder="1" applyAlignment="1">
      <x:alignment wrapText="1"/>
    </x:xf>
    <x:xf numFmtId="0" fontId="18" fillId="8" borderId="6" xfId="0" applyNumberFormat="1" applyFont="1" applyFill="1" applyBorder="1" applyAlignment="1">
      <x:alignment wrapText="1"/>
    </x:xf>
    <x:xf numFmtId="0" fontId="19" fillId="2" borderId="0" xfId="0" applyNumberFormat="1" applyFont="1" applyFill="1" applyBorder="1"/>
    <x:xf numFmtId="0" fontId="19" fillId="2" borderId="0" xfId="0" applyNumberFormat="1" applyFont="1" applyFill="1" applyBorder="1" applyAlignment="1">
      <x:alignment vertical="center"/>
    </x:xf>
    <x:xf numFmtId="0" fontId="16" fillId="3" borderId="0" xfId="0" applyNumberFormat="1" applyFont="1" applyFill="1" applyBorder="1"/>
    <x:xf numFmtId="0" fontId="16" fillId="3" borderId="7" xfId="0" applyNumberFormat="1" applyFont="1" applyFill="1" applyBorder="1"/>
    <x:xf numFmtId="0" fontId="16" fillId="3" borderId="7" xfId="0" applyNumberFormat="1" applyFont="1" applyFill="1" applyBorder="1" applyAlignment="1">
      <x:alignment wrapText="1"/>
    </x:xf>
    <x:xf numFmtId="0" fontId="1" fillId="5" borderId="7"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13" fillId="7" borderId="1" xfId="0" applyNumberFormat="1" applyFont="1" applyFill="1" applyBorder="1" applyAlignment="1">
      <x:alignment wrapText="1"/>
    </x:xf>
    <x:xf numFmtId="0" fontId="13" fillId="7" borderId="2" xfId="0" applyNumberFormat="1" applyFont="1" applyFill="1" applyBorder="1" applyAlignment="1">
      <x:alignment wrapText="1"/>
    </x:xf>
    <x:xf numFmtId="0" fontId="13" fillId="7" borderId="3" xfId="0" applyNumberFormat="1" applyFont="1" applyFill="1" applyBorder="1" applyAlignment="1">
      <x:alignment wrapText="1"/>
    </x:xf>
    <x:xf numFmtId="0" fontId="13" fillId="7" borderId="4" xfId="0" applyNumberFormat="1" applyFont="1" applyFill="1" applyBorder="1" applyAlignment="1">
      <x:alignment wrapText="1"/>
    </x:xf>
    <x:xf numFmtId="0" fontId="13" fillId="7" borderId="5" xfId="0" applyNumberFormat="1" applyFont="1" applyFill="1" applyBorder="1" applyAlignment="1">
      <x:alignment wrapText="1"/>
    </x:xf>
    <x:xf numFmtId="0" fontId="13" fillId="7" borderId="6" xfId="0" applyNumberFormat="1" applyFont="1" applyFill="1" applyBorder="1" applyAlignment="1">
      <x:alignment wrapText="1"/>
    </x:xf>
    <x:xf numFmtId="0" fontId="1" fillId="9" borderId="0" xfId="0" applyNumberFormat="1" applyFont="1" applyFill="1" applyBorder="1"/>
    <x:xf numFmtId="0" fontId="17" fillId="9" borderId="0" xfId="0" applyNumberFormat="1" applyFont="1" applyFill="1" applyBorder="1"/>
    <x:xf numFmtId="0" fontId="4" fillId="4" borderId="7" xfId="0" applyNumberFormat="1" applyFont="1" applyFill="1" applyBorder="1"/>
    <x:xf numFmtId="0" fontId="4" fillId="4" borderId="7" xfId="0" applyNumberFormat="1" applyFont="1" applyFill="1" applyBorder="1" applyAlignment="1">
      <x:alignment wrapText="1"/>
    </x:xf>
  </x:cellXfs>
  <x:cellStyles count="1">
    <x:cellStyle name="Normal" xfId="0"/>
  </x:cellStyles>
  <x:dxfs count="12">
    <x:dxf>
      <x:fill>
        <x:patternFill patternType="solid">
          <x:bgColor rgb="FFF7FAFC"/>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7F6000"/>
      </x:font>
      <x:fill>
        <x:patternFill patternType="solid">
          <x:bgColor rgb="FFFFF2CC"/>
        </x:patternFill>
      </x:fill>
    </x:dxf>
    <x:dxf>
      <x:fill>
        <x:patternFill patternType="solid">
          <x:bgColor rgb="FFF7FAFC"/>
        </x:patternFill>
      </x:fill>
    </x:dxf>
    <x:dxf>
      <x:font>
        <x:color rgb="FF375623"/>
      </x:font>
      <x:fill>
        <x:patternFill patternType="solid">
          <x:bgColor rgb="FFE2F0D9"/>
        </x:patternFill>
      </x:fill>
    </x:dxf>
    <x:dxf>
      <x:font>
        <x:color rgb="FF9C0006"/>
      </x:font>
      <x:fill>
        <x:patternFill patternType="solid">
          <x:bgColor rgb="FFFCE4D6"/>
        </x:patternFill>
      </x:fill>
    </x:dxf>
    <x:dxf>
      <x:fill>
        <x:patternFill patternType="solid">
          <x:bgColor rgb="FFF7FAF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8649f2858b480d" /><Relationship Type="http://schemas.openxmlformats.org/officeDocument/2006/relationships/theme" Target="/xl/theme/theme1.xml" Id="Rb880371858f04b94" /><Relationship Type="http://schemas.openxmlformats.org/officeDocument/2006/relationships/sharedStrings" Target="/xl/sharedStrings.xml" Id="R117078c27fdf4788" /><Relationship Type="http://schemas.openxmlformats.org/officeDocument/2006/relationships/worksheet" Target="/xl/worksheets/sheet1.xml" Id="Re13f98d4acc84ab2" /><Relationship Type="http://schemas.openxmlformats.org/officeDocument/2006/relationships/worksheet" Target="/xl/worksheets/sheet2.xml" Id="Re65afca0a8044074" /><Relationship Type="http://schemas.openxmlformats.org/officeDocument/2006/relationships/worksheet" Target="/xl/worksheets/sheet3.xml" Id="R5564f69c4b9844cd"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a836d9bdd7461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ptos"/>
                <a:ea typeface="Aptos"/>
                <a:cs typeface="Aptos"/>
              </a:rPr>
              <a:t>Average tracking RMSE across 10 paired seeds</a:t>
            </a:r>
          </a:p>
        </c:rich>
      </c:tx>
      <c:overlay val="0"/>
      <c:txPr>
        <a:bodyPr xmlns:a="http://schemas.openxmlformats.org/drawingml/2006/main" anchorCtr="1"/>
        <a:lstStyle xmlns:a="http://schemas.openxmlformats.org/drawingml/2006/main"/>
        <a:p xmlns:a="http://schemas.openxmlformats.org/drawingml/2006/main">
          <a:pPr>
            <a:defRPr sz="1050">
              <a:latin typeface="Aptos"/>
              <a:ea typeface="Aptos"/>
              <a:cs typeface="Aptos"/>
            </a:defRPr>
          </a:pPr>
        </a:p>
      </c:txPr>
    </c:title>
    <c:plotArea>
      <c:barChart>
        <c:barDir val="col"/>
        <c:varyColors val="0"/>
        <c:ser>
          <c:idx val="0"/>
          <c:order val="0"/>
          <c:tx>
            <c:v>Stable baseline</c:v>
          </c:tx>
          <c:spPr>
            <a:solidFill xmlns:a="http://schemas.openxmlformats.org/drawingml/2006/main">
              <a:srgbClr val="5B9BD5"/>
            </a:solidFill>
          </c:spPr>
          <c:cat>
            <c:strRef>
              <c:f>'Comparison'!$A$18:$A$22</c:f>
              <c:strCache>
                <c:ptCount val="0"/>
              </c:strCache>
            </c:strRef>
          </c:cat>
          <c:val>
            <c:numRef>
              <c:f>'Comparison'!$B$18:$B$22</c:f>
              <c:numCache>
                <c:formatCode>0.000</c:formatCode>
                <c:ptCount val="0"/>
              </c:numCache>
            </c:numRef>
          </c:val>
        </c:ser>
        <c:ser>
          <c:idx val="1"/>
          <c:order val="1"/>
          <c:tx>
            <c:v>Our variation</c:v>
          </c:tx>
          <c:spPr>
            <a:solidFill xmlns:a="http://schemas.openxmlformats.org/drawingml/2006/main">
              <a:srgbClr val="00A6A6"/>
            </a:solidFill>
          </c:spPr>
          <c:cat>
            <c:strRef>
              <c:f>'Comparison'!$A$18:$A$22</c:f>
              <c:strCache>
                <c:ptCount val="0"/>
              </c:strCache>
            </c:strRef>
          </c:cat>
          <c:val>
            <c:numRef>
              <c:f>'Comparison'!$C$18:$C$22</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RMSE (pixels; lower is better)</a:t>
                </a:r>
              </a:p>
            </c:rich>
          </c:tx>
          <c:overlay val="0"/>
        </c:title>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ptos"/>
              <a:ea typeface="Aptos"/>
              <a:cs typeface="Aptos"/>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16</xdr:row>
      <xdr:rowOff>0</xdr:rowOff>
    </xdr:from>
    <xdr:to>
      <xdr:col>15</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a836d9bdd7461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02ae0c923f34165" /></Relationships>
</file>

<file path=xl/worksheets/sheet1.xml><?xml version="1.0" encoding="utf-8"?>
<x:worksheet xmlns:x="http://schemas.openxmlformats.org/spreadsheetml/2006/main">
  <x:sheetPr>
    <x:tabColor rgb="FF00A6A6"/>
  </x:sheetPr>
  <x:sheetViews>
    <x:sheetView showGridLines="0" workbookViewId="0">
      <x:pane ySplit="10" topLeftCell="A11" activePane="bottomLeft" state="frozen"/>
    </x:sheetView>
  </x:sheetViews>
  <x:sheetFormatPr defaultRowHeight="15"/>
  <x:cols>
    <x:col min="1" max="1" width="22" hidden="0" customWidth="1"/>
    <x:col min="2" max="2" width="24" hidden="0" customWidth="1"/>
    <x:col min="3" max="3" width="44" hidden="0" customWidth="1"/>
    <x:col min="4" max="4" width="34" hidden="0" customWidth="1"/>
    <x:col min="5" max="5" width="11" hidden="0" customWidth="1"/>
    <x:col min="6" max="6" width="15" hidden="0" customWidth="1"/>
    <x:col min="7" max="7" width="16" hidden="0" customWidth="1"/>
    <x:col min="8" max="8" width="15" hidden="0" customWidth="1"/>
    <x:col min="9" max="9" width="12" hidden="0" customWidth="1"/>
    <x:col min="10" max="10" width="13" hidden="0" customWidth="1"/>
    <x:col min="11" max="11" width="11" hidden="0" customWidth="1"/>
    <x:col min="12" max="12" width="14" hidden="0" customWidth="1"/>
    <x:col min="13" max="13" width="15" hidden="0" customWidth="1"/>
    <x:col min="14" max="14" width="16" hidden="0" customWidth="1"/>
    <x:col min="15" max="15" width="42" hidden="0" customWidth="1"/>
  </x:cols>
  <x:sheetData>
    <x:row r="1" ht="28" customHeight="1">
      <x:c r="A1" s="4" t="str">
        <x:v>SIH26169 · PAT Monte Carlo Case Comparison</x:v>
      </x:c>
      <x:c r="B1" s="4"/>
      <x:c r="C1" s="4"/>
      <x:c r="D1" s="4"/>
      <x:c r="E1" s="4"/>
      <x:c r="F1" s="4"/>
      <x:c r="G1" s="4"/>
      <x:c r="H1" s="4"/>
      <x:c r="I1" s="4"/>
      <x:c r="J1" s="4"/>
      <x:c r="K1" s="4"/>
      <x:c r="L1" s="4"/>
      <x:c r="M1" s="4"/>
      <x:c r="N1" s="4"/>
      <x:c r="O1" s="4"/>
      <x:c r="P1" s="1"/>
      <x:c r="Q1" s="1"/>
    </x:row>
    <x:row r="2" ht="28" customHeight="1">
      <x:c r="A2" s="4"/>
      <x:c r="B2" s="4"/>
      <x:c r="C2" s="4"/>
      <x:c r="D2" s="4"/>
      <x:c r="E2" s="4"/>
      <x:c r="F2" s="4"/>
      <x:c r="G2" s="4"/>
      <x:c r="H2" s="4"/>
      <x:c r="I2" s="4"/>
      <x:c r="J2" s="4"/>
      <x:c r="K2" s="4"/>
      <x:c r="L2" s="4"/>
      <x:c r="M2" s="4"/>
      <x:c r="N2" s="4"/>
      <x:c r="O2" s="4"/>
      <x:c r="P2" s="1"/>
      <x:c r="Q2" s="1"/>
    </x:row>
    <x:row r="3" ht="22" customHeight="1">
      <x:c r="A3" s="6" t="str">
        <x:v>Public mature optical PAT practice vs our current simulated variants · paired common-random-number seeds</x:v>
      </x:c>
      <x:c r="B3" s="6"/>
      <x:c r="C3" s="6"/>
      <x:c r="D3" s="6"/>
      <x:c r="E3" s="6"/>
      <x:c r="F3" s="6"/>
      <x:c r="G3" s="6"/>
      <x:c r="H3" s="6"/>
      <x:c r="I3" s="6"/>
      <x:c r="J3" s="6"/>
      <x:c r="K3" s="6"/>
      <x:c r="L3" s="6"/>
      <x:c r="M3" s="6"/>
      <x:c r="N3" s="6"/>
      <x:c r="O3" s="6"/>
      <x:c r="P3" s="1"/>
      <x:c r="Q3" s="1"/>
    </x:row>
    <x:row r="4">
      <x:c r="A4" s="1"/>
      <x:c r="B4" s="1"/>
      <x:c r="C4" s="1"/>
      <x:c r="D4" s="1"/>
      <x:c r="E4" s="1"/>
      <x:c r="F4" s="1"/>
      <x:c r="G4" s="1"/>
      <x:c r="H4" s="1"/>
      <x:c r="I4" s="1"/>
      <x:c r="J4" s="1"/>
      <x:c r="K4" s="1"/>
      <x:c r="L4" s="1"/>
      <x:c r="M4" s="1"/>
      <x:c r="N4" s="1"/>
      <x:c r="O4" s="1"/>
      <x:c r="P4" s="1"/>
      <x:c r="Q4" s="1"/>
    </x:row>
    <x:row r="5" ht="24" customHeight="1">
      <x:c r="A5" s="27" t="str">
        <x:v>CASES</x:v>
      </x:c>
      <x:c r="B5" s="28"/>
      <x:c r="C5" s="29"/>
      <x:c r="D5" s="27" t="str">
        <x:v>PAIRED SEED SETS</x:v>
      </x:c>
      <x:c r="E5" s="28"/>
      <x:c r="F5" s="29"/>
      <x:c r="G5" s="53" t="str">
        <x:v>SIMULATED WINS</x:v>
      </x:c>
      <x:c r="H5" s="54"/>
      <x:c r="I5" s="55"/>
      <x:c r="J5" s="79" t="str">
        <x:v>NEEDS WORK</x:v>
      </x:c>
      <x:c r="K5" s="80"/>
      <x:c r="L5" s="81"/>
      <x:c r="M5" s="105" t="str">
        <x:v>NO CLEAR GAIN</x:v>
      </x:c>
      <x:c r="N5" s="106"/>
      <x:c r="O5" s="107"/>
      <x:c r="P5" s="1"/>
      <x:c r="Q5" s="1"/>
    </x:row>
    <x:row r="6" ht="24" customHeight="1">
      <x:c r="A6" s="30" t="n">
        <x:v>5</x:v>
      </x:c>
      <x:c r="B6" s="31"/>
      <x:c r="C6" s="32"/>
      <x:c r="D6" s="30" t="n">
        <x:v>50</x:v>
      </x:c>
      <x:c r="E6" s="31"/>
      <x:c r="F6" s="32"/>
      <x:c r="G6" s="56" t="n">
        <x:v>2</x:v>
      </x:c>
      <x:c r="H6" s="57"/>
      <x:c r="I6" s="58"/>
      <x:c r="J6" s="82" t="n">
        <x:v>2</x:v>
      </x:c>
      <x:c r="K6" s="83"/>
      <x:c r="L6" s="84"/>
      <x:c r="M6" s="108" t="n">
        <x:v>1</x:v>
      </x:c>
      <x:c r="N6" s="109"/>
      <x:c r="O6" s="110"/>
      <x:c r="P6" s="1"/>
      <x:c r="Q6" s="1"/>
    </x:row>
    <x:row r="7">
      <x:c r="A7" s="1"/>
      <x:c r="B7" s="1"/>
      <x:c r="C7" s="1"/>
      <x:c r="D7" s="1"/>
      <x:c r="E7" s="1"/>
      <x:c r="F7" s="1"/>
      <x:c r="G7" s="1"/>
      <x:c r="H7" s="1"/>
      <x:c r="I7" s="1"/>
      <x:c r="J7" s="1"/>
      <x:c r="K7" s="1"/>
      <x:c r="L7" s="1"/>
      <x:c r="M7" s="1"/>
      <x:c r="N7" s="1"/>
      <x:c r="O7" s="1"/>
      <x:c r="P7" s="1"/>
      <x:c r="Q7" s="1"/>
    </x:row>
    <x:row r="8" ht="32" customHeight="1">
      <x:c r="A8" s="111" t="str">
        <x:v>Green = lower RMSE with no loss of lock retention · Red = worse RMSE or reliability · These are simulation results, not flight qualification.</x:v>
      </x:c>
      <x:c r="B8" s="111"/>
      <x:c r="C8" s="111"/>
      <x:c r="D8" s="111"/>
      <x:c r="E8" s="111"/>
      <x:c r="F8" s="111"/>
      <x:c r="G8" s="111"/>
      <x:c r="H8" s="111"/>
      <x:c r="I8" s="111"/>
      <x:c r="J8" s="111"/>
      <x:c r="K8" s="111"/>
      <x:c r="L8" s="111"/>
      <x:c r="M8" s="111"/>
      <x:c r="N8" s="111"/>
      <x:c r="O8" s="111"/>
      <x:c r="P8" s="1"/>
      <x:c r="Q8" s="1"/>
    </x:row>
    <x:row r="9">
      <x:c r="A9" s="1"/>
      <x:c r="B9" s="1"/>
      <x:c r="C9" s="1"/>
      <x:c r="D9" s="1"/>
      <x:c r="E9" s="1"/>
      <x:c r="F9" s="1"/>
      <x:c r="G9" s="1"/>
      <x:c r="H9" s="1"/>
      <x:c r="I9" s="1"/>
      <x:c r="J9" s="1"/>
      <x:c r="K9" s="1"/>
      <x:c r="L9" s="1"/>
      <x:c r="M9" s="1"/>
      <x:c r="N9" s="1"/>
      <x:c r="O9" s="1"/>
      <x:c r="P9" s="1"/>
      <x:c r="Q9" s="1"/>
    </x:row>
    <x:row r="10" ht="42" customHeight="1">
      <x:c r="A10" s="115" t="str">
        <x:v>Case</x:v>
      </x:c>
      <x:c r="B10" s="115" t="str">
        <x:v>Stress / environment</x:v>
      </x:c>
      <x:c r="C10" s="115" t="str">
        <x:v>Public mature PAT practice</x:v>
      </x:c>
      <x:c r="D10" s="115" t="str">
        <x:v>Our tested variation</x:v>
      </x:c>
      <x:c r="E10" s="115" t="str">
        <x:v>Seed pairs</x:v>
      </x:c>
      <x:c r="F10" s="115" t="str">
        <x:v>Baseline mean RMSE (px)</x:v>
      </x:c>
      <x:c r="G10" s="115" t="str">
        <x:v>Candidate mean RMSE (px)</x:v>
      </x:c>
      <x:c r="H10" s="115" t="str">
        <x:v>RMSE Δ vs baseline</x:v>
      </x:c>
      <x:c r="I10" s="115" t="str">
        <x:v>Baseline lock</x:v>
      </x:c>
      <x:c r="J10" s="115" t="str">
        <x:v>Candidate lock</x:v>
      </x:c>
      <x:c r="K10" s="115" t="str">
        <x:v>Lock Δ (pp)</x:v>
      </x:c>
      <x:c r="L10" s="115" t="str">
        <x:v>Mean latency (ms)</x:v>
      </x:c>
      <x:c r="M10" s="115" t="str">
        <x:v>Best replay seed</x:v>
      </x:c>
      <x:c r="N10" s="115" t="str">
        <x:v>Verdict</x:v>
      </x:c>
      <x:c r="O10" s="115" t="str">
        <x:v>Engineering interpretation</x:v>
      </x:c>
      <x:c r="P10" s="1"/>
      <x:c r="Q10" s="1"/>
    </x:row>
    <x:row r="11" ht="76" customHeight="1">
      <x:c r="A11" s="118" t="str">
        <x:v>Nominal satellite pair</x:v>
      </x:c>
      <x:c r="B11" s="118" t="str">
        <x:v>Nominal inter-satellite relative motion</x:v>
      </x:c>
      <x:c r="C11" s="118" t="str">
        <x:v>Ephemeris/attitude coarse pointing; wide-FOV acquisition sensor; beacon or communication laser; filtered fine tracking; coarse + fine pointing mechanisms.</x:v>
      </x:c>
      <x:c r="D11" s="118" t="str">
        <x:v>gradient_centroid → none → kalman → none → pid → basic</x:v>
      </x:c>
      <x:c r="E11" s="124" t="n">
        <x:v>10</x:v>
      </x:c>
      <x:c r="F11" s="119" t="n">
        <x:v>0.019271000086339713</x:v>
      </x:c>
      <x:c r="G11" s="119" t="n">
        <x:v>0.02844318948280338</x:v>
      </x:c>
      <x:c r="H11" s="120" t="n">
        <x:f>(G11-F11)/F11</x:f>
        <x:v>0.47595814204605774</x:v>
      </x:c>
      <x:c r="I11" s="121" t="n">
        <x:v>1</x:v>
      </x:c>
      <x:c r="J11" s="121" t="n">
        <x:v>1</x:v>
      </x:c>
      <x:c r="K11" s="122" t="n">
        <x:f>(J11-I11)*100</x:f>
        <x:v>0</x:v>
      </x:c>
      <x:c r="L11" s="123" t="n">
        <x:v>4.454438002139796</x:v>
      </x:c>
      <x:c r="M11" s="124" t="n">
        <x:v>354230102</x:v>
      </x:c>
      <x:c r="N11" s="118" t="str">
        <x:f>IF(AND(H11&lt;0,K11&gt;=0),"OUTPERFORMS",IF(AND(ABS(H11)&lt;=0.001,ABS(K11)&lt;=0.01),"NO CLEAR GAIN","UNDERPERFORMS"))</x:f>
        <x:v>UNDERPERFORMS</x:v>
      </x:c>
      <x:c r="O11" s="118" t="str">
        <x:v>The extra localizer is not justified in this clean case; keep the stable centroid baseline.</x:v>
      </x:c>
      <x:c r="P11" s="1"/>
      <x:c r="Q11" s="1"/>
    </x:row>
    <x:row r="12" ht="76" customHeight="1">
      <x:c r="A12" s="118" t="str">
        <x:v>High platform vibration</x:v>
      </x:c>
      <x:c r="B12" s="118" t="str">
        <x:v>Strong camera/platform jitter</x:v>
      </x:c>
      <x:c r="C12" s="118" t="str">
        <x:v>Mechanically isolated optical head; inertial aiding; high-rate tracking sensor; high-bandwidth fine-steering mirror (FSM) to reject line-of-sight jitter.</x:v>
      </x:c>
      <x:c r="D12" s="118" t="str">
        <x:v>gradient_centroid → none → ukf_angular → none → pid → basic</x:v>
      </x:c>
      <x:c r="E12" s="124" t="n">
        <x:v>10</x:v>
      </x:c>
      <x:c r="F12" s="119" t="n">
        <x:v>0.15008895735447944</x:v>
      </x:c>
      <x:c r="G12" s="119" t="n">
        <x:v>0.16026202782079665</x:v>
      </x:c>
      <x:c r="H12" s="120" t="n">
        <x:f>(G12-F12)/F12</x:f>
        <x:v>0.0677802727504496</x:v>
      </x:c>
      <x:c r="I12" s="121" t="n">
        <x:v>1</x:v>
      </x:c>
      <x:c r="J12" s="121" t="n">
        <x:v>1</x:v>
      </x:c>
      <x:c r="K12" s="122" t="n">
        <x:f>(J12-I12)*100</x:f>
        <x:v>0</x:v>
      </x:c>
      <x:c r="L12" s="123" t="n">
        <x:v>6.135707496723626</x:v>
      </x:c>
      <x:c r="M12" s="124" t="n">
        <x:v>148738825</x:v>
      </x:c>
      <x:c r="N12" s="118" t="str">
        <x:f>IF(AND(H12&lt;0,K12&gt;=0),"OUTPERFORMS",IF(AND(ABS(H12)&lt;=0.001,ABS(K12)&lt;=0.01),"NO CLEAR GAIN","UNDERPERFORMS"))</x:f>
        <x:v>UNDERPERFORMS</x:v>
      </x:c>
      <x:c r="O12" s="118" t="str">
        <x:v>The angular UKF did not beat the baseline on tracking RMSE in this short sample; tune before promotion.</x:v>
      </x:c>
      <x:c r="P12" s="1"/>
      <x:c r="Q12" s="1"/>
    </x:row>
    <x:row r="13" ht="76" customHeight="1">
      <x:c r="A13" s="118" t="str">
        <x:v>Weak ground beacon</x:v>
      </x:c>
      <x:c r="B13" s="118" t="str">
        <x:v>Low optical intensity / low SNR</x:v>
      </x:c>
      <x:c r="C13" s="118" t="str">
        <x:v>Narrow optical filtering, wide-FOV acquisition, sensitive tracking detector, controlled integration/gain and beacon-assisted reacquisition.</x:v>
      </x:c>
      <x:c r="D13" s="118" t="str">
        <x:v>gradient_centroid → cnn_residual → akf_r → none → pid → basic</x:v>
      </x:c>
      <x:c r="E13" s="124" t="n">
        <x:v>10</x:v>
      </x:c>
      <x:c r="F13" s="119" t="n">
        <x:v>2.5954978102232227</x:v>
      </x:c>
      <x:c r="G13" s="119" t="n">
        <x:v>2.5954978102232227</x:v>
      </x:c>
      <x:c r="H13" s="120" t="n">
        <x:f>(G13-F13)/F13</x:f>
        <x:v>0</x:v>
      </x:c>
      <x:c r="I13" s="121" t="n">
        <x:v>0.45</x:v>
      </x:c>
      <x:c r="J13" s="121" t="n">
        <x:v>0.45</x:v>
      </x:c>
      <x:c r="K13" s="122" t="n">
        <x:f>(J13-I13)*100</x:f>
        <x:v>0</x:v>
      </x:c>
      <x:c r="L13" s="123" t="n">
        <x:v>4.464178999769501</x:v>
      </x:c>
      <x:c r="M13" s="124" t="n">
        <x:v>3764732521</x:v>
      </x:c>
      <x:c r="N13" s="118" t="str">
        <x:f>IF(AND(H13&lt;0,K13&gt;=0),"OUTPERFORMS",IF(AND(ABS(H13)&lt;=0.001,ABS(K13)&lt;=0.01),"NO CLEAR GAIN","UNDERPERFORMS"))</x:f>
        <x:v>NO CLEAR GAIN</x:v>
      </x:c>
      <x:c r="O13" s="118" t="str">
        <x:v>CNN residual correction produced no measurable gain and all runs retained the injected BEACON_TOO_WEAK failure label.</x:v>
      </x:c>
      <x:c r="P13" s="1"/>
      <x:c r="Q13" s="1"/>
    </x:row>
    <x:row r="14" ht="76" customHeight="1">
      <x:c r="A14" s="118" t="str">
        <x:v>Hard beacon dropout</x:v>
      </x:c>
      <x:c r="B14" s="118" t="str">
        <x:v>Complete temporary visual occlusion</x:v>
      </x:c>
      <x:c r="C14" s="118" t="str">
        <x:v>Propagate last valid state with inertial/ephemeris knowledge; expand uncertainty; deterministic search; reacquire only after detection/lock checks pass.</x:v>
      </x:c>
      <x:c r="D14" s="118" t="str">
        <x:v>centroid → none → kalman → none → pid → predictive_covariance</x:v>
      </x:c>
      <x:c r="E14" s="124" t="n">
        <x:v>10</x:v>
      </x:c>
      <x:c r="F14" s="119" t="n">
        <x:v>1.6244006130596653</x:v>
      </x:c>
      <x:c r="G14" s="119" t="n">
        <x:v>0.7472755695112493</x:v>
      </x:c>
      <x:c r="H14" s="120" t="n">
        <x:f>(G14-F14)/F14</x:f>
        <x:v>-0.5399684268133176</x:v>
      </x:c>
      <x:c r="I14" s="121" t="n">
        <x:v>0.7857142857142857</x:v>
      </x:c>
      <x:c r="J14" s="121" t="n">
        <x:v>0.7857142857142857</x:v>
      </x:c>
      <x:c r="K14" s="122" t="n">
        <x:f>(J14-I14)*100</x:f>
        <x:v>0</x:v>
      </x:c>
      <x:c r="L14" s="123" t="n">
        <x:v>5.923738143090823</x:v>
      </x:c>
      <x:c r="M14" s="124" t="n">
        <x:v>692661495</x:v>
      </x:c>
      <x:c r="N14" s="118" t="str">
        <x:f>IF(AND(H14&lt;0,K14&gt;=0),"OUTPERFORMS",IF(AND(ABS(H14)&lt;=0.001,ABS(K14)&lt;=0.01),"NO CLEAR GAIN","UNDERPERFORMS"))</x:f>
        <x:v>OUTPERFORMS</x:v>
      </x:c>
      <x:c r="O14" s="118" t="str">
        <x:v>Predictive covariance search cut average tracking RMSE while preserving lock retention; strongest simulated win here.</x:v>
      </x:c>
      <x:c r="P14" s="1"/>
      <x:c r="Q14" s="1"/>
    </x:row>
    <x:row r="15" ht="76" customHeight="1">
      <x:c r="A15" s="118" t="str">
        <x:v>Aggressive UAV motion</x:v>
      </x:c>
      <x:c r="B15" s="118" t="str">
        <x:v>Fast angular line-of-sight motion</x:v>
      </x:c>
      <x:c r="C15" s="118" t="str">
        <x:v>GNSS/INS or inertial-aided line-of-sight prediction, feed-forward angular-rate command, stabilized two-axis gimbal and closed-loop image correction.</x:v>
      </x:c>
      <x:c r="D15" s="118" t="str">
        <x:v>centroid → none → kalman → cv → ff_pid → basic</x:v>
      </x:c>
      <x:c r="E15" s="124" t="n">
        <x:v>10</x:v>
      </x:c>
      <x:c r="F15" s="119" t="n">
        <x:v>3.5973271936984235</x:v>
      </x:c>
      <x:c r="G15" s="119" t="n">
        <x:v>3.3026847841182523</x:v>
      </x:c>
      <x:c r="H15" s="120" t="n">
        <x:f>(G15-F15)/F15</x:f>
        <x:v>-0.0819059245142637</x:v>
      </x:c>
      <x:c r="I15" s="121" t="n">
        <x:v>1</x:v>
      </x:c>
      <x:c r="J15" s="121" t="n">
        <x:v>1</x:v>
      </x:c>
      <x:c r="K15" s="122" t="n">
        <x:f>(J15-I15)*100</x:f>
        <x:v>0</x:v>
      </x:c>
      <x:c r="L15" s="123" t="n">
        <x:v>6.579491778457951</x:v>
      </x:c>
      <x:c r="M15" s="124" t="n">
        <x:v>2718213872</x:v>
      </x:c>
      <x:c r="N15" s="118" t="str">
        <x:f>IF(AND(H15&lt;0,K15&gt;=0),"OUTPERFORMS",IF(AND(ABS(H15)&lt;=0.001,ABS(K15)&lt;=0.01),"NO CLEAR GAIN","UNDERPERFORMS"))</x:f>
        <x:v>OUTPERFORMS</x:v>
      </x:c>
      <x:c r="O15" s="118" t="str">
        <x:v>Constant-velocity feed-forward PID reduced tracking RMSE without reducing lock retention.</x:v>
      </x:c>
      <x:c r="P15" s="1"/>
      <x:c r="Q15" s="1"/>
    </x:row>
    <x:row r="16">
      <x:c r="A16" s="1"/>
      <x:c r="B16" s="1"/>
      <x:c r="C16" s="1"/>
      <x:c r="D16" s="1"/>
      <x:c r="E16" s="1"/>
      <x:c r="F16" s="1"/>
      <x:c r="G16" s="1"/>
      <x:c r="H16" s="1"/>
      <x:c r="I16" s="1"/>
      <x:c r="J16" s="1"/>
      <x:c r="K16" s="1"/>
      <x:c r="L16" s="1"/>
      <x:c r="M16" s="1"/>
      <x:c r="N16" s="1"/>
      <x:c r="O16" s="1"/>
      <x:c r="P16" s="1"/>
      <x:c r="Q16" s="1"/>
    </x:row>
    <x:row r="17">
      <x:c r="A17" s="126" t="str">
        <x:v>Case</x:v>
      </x:c>
      <x:c r="B17" s="126" t="str">
        <x:v>Stable baseline</x:v>
      </x:c>
      <x:c r="C17" s="126" t="str">
        <x:v>Our variation</x:v>
      </x:c>
      <x:c r="D17" s="1"/>
      <x:c r="E17" s="1"/>
      <x:c r="F17" s="1"/>
      <x:c r="G17" s="1"/>
      <x:c r="H17" s="1"/>
      <x:c r="I17" s="1"/>
      <x:c r="J17" s="1"/>
      <x:c r="K17" s="1"/>
      <x:c r="L17" s="1"/>
      <x:c r="M17" s="1"/>
      <x:c r="N17" s="1"/>
      <x:c r="O17" s="1"/>
      <x:c r="P17" s="1"/>
      <x:c r="Q17" s="1"/>
    </x:row>
    <x:row r="18">
      <x:c r="A18" s="1" t="str">
        <x:v>Nominal satellite pair</x:v>
      </x:c>
      <x:c r="B18" s="125" t="n">
        <x:v>0.019271000086339713</x:v>
      </x:c>
      <x:c r="C18" s="125" t="n">
        <x:v>0.02844318948280338</x:v>
      </x:c>
      <x:c r="D18" s="1"/>
      <x:c r="E18" s="1"/>
      <x:c r="F18" s="1"/>
      <x:c r="G18" s="1"/>
      <x:c r="H18" s="1"/>
      <x:c r="I18" s="1"/>
      <x:c r="J18" s="1"/>
      <x:c r="K18" s="1"/>
      <x:c r="L18" s="1"/>
      <x:c r="M18" s="1"/>
      <x:c r="N18" s="1"/>
      <x:c r="O18" s="1"/>
      <x:c r="P18" s="1"/>
      <x:c r="Q18" s="1"/>
    </x:row>
    <x:row r="19">
      <x:c r="A19" s="1" t="str">
        <x:v>High platform vibration</x:v>
      </x:c>
      <x:c r="B19" s="125" t="n">
        <x:v>0.15008895735447944</x:v>
      </x:c>
      <x:c r="C19" s="125" t="n">
        <x:v>0.16026202782079665</x:v>
      </x:c>
      <x:c r="D19" s="1"/>
      <x:c r="E19" s="1"/>
      <x:c r="F19" s="1"/>
      <x:c r="G19" s="1"/>
      <x:c r="H19" s="1"/>
      <x:c r="I19" s="1"/>
      <x:c r="J19" s="1"/>
      <x:c r="K19" s="1"/>
      <x:c r="L19" s="1"/>
      <x:c r="M19" s="1"/>
      <x:c r="N19" s="1"/>
      <x:c r="O19" s="1"/>
      <x:c r="P19" s="1"/>
      <x:c r="Q19" s="1"/>
    </x:row>
    <x:row r="20">
      <x:c r="A20" s="1" t="str">
        <x:v>Weak ground beacon</x:v>
      </x:c>
      <x:c r="B20" s="125" t="n">
        <x:v>2.5954978102232227</x:v>
      </x:c>
      <x:c r="C20" s="125" t="n">
        <x:v>2.5954978102232227</x:v>
      </x:c>
      <x:c r="D20" s="1"/>
      <x:c r="E20" s="1"/>
      <x:c r="F20" s="1"/>
      <x:c r="G20" s="1"/>
      <x:c r="H20" s="1"/>
      <x:c r="I20" s="1"/>
      <x:c r="J20" s="1"/>
      <x:c r="K20" s="1"/>
      <x:c r="L20" s="1"/>
      <x:c r="M20" s="1"/>
      <x:c r="N20" s="1"/>
      <x:c r="O20" s="1"/>
      <x:c r="P20" s="1"/>
      <x:c r="Q20" s="1"/>
    </x:row>
    <x:row r="21">
      <x:c r="A21" s="1" t="str">
        <x:v>Hard beacon dropout</x:v>
      </x:c>
      <x:c r="B21" s="125" t="n">
        <x:v>1.6244006130596653</x:v>
      </x:c>
      <x:c r="C21" s="125" t="n">
        <x:v>0.7472755695112493</x:v>
      </x:c>
      <x:c r="D21" s="1"/>
      <x:c r="E21" s="1"/>
      <x:c r="F21" s="1"/>
      <x:c r="G21" s="1"/>
      <x:c r="H21" s="1"/>
      <x:c r="I21" s="1"/>
      <x:c r="J21" s="1"/>
      <x:c r="K21" s="1"/>
      <x:c r="L21" s="1"/>
      <x:c r="M21" s="1"/>
      <x:c r="N21" s="1"/>
      <x:c r="O21" s="1"/>
      <x:c r="P21" s="1"/>
      <x:c r="Q21" s="1"/>
    </x:row>
    <x:row r="22">
      <x:c r="A22" s="1" t="str">
        <x:v>Aggressive UAV motion</x:v>
      </x:c>
      <x:c r="B22" s="125" t="n">
        <x:v>3.5973271936984235</x:v>
      </x:c>
      <x:c r="C22" s="125" t="n">
        <x:v>3.3026847841182523</x:v>
      </x:c>
      <x:c r="D22" s="1"/>
      <x:c r="E22" s="1"/>
      <x:c r="F22" s="1"/>
      <x:c r="G22" s="1"/>
      <x:c r="H22" s="1"/>
      <x:c r="I22" s="1"/>
      <x:c r="J22" s="1"/>
      <x:c r="K22" s="1"/>
      <x:c r="L22" s="1"/>
      <x:c r="M22" s="1"/>
      <x:c r="N22" s="1"/>
      <x:c r="O22" s="1"/>
      <x:c r="P22" s="1"/>
      <x:c r="Q22" s="1"/>
    </x:row>
    <x:row r="23">
      <x:c r="A23" s="1"/>
      <x:c r="B23" s="1"/>
      <x:c r="C23" s="1"/>
      <x:c r="D23" s="1"/>
      <x:c r="E23" s="1"/>
      <x:c r="F23" s="1"/>
      <x:c r="G23" s="1"/>
      <x:c r="H23" s="1"/>
      <x:c r="I23" s="1"/>
      <x:c r="J23" s="1"/>
      <x:c r="K23" s="1"/>
      <x:c r="L23" s="1"/>
      <x:c r="M23" s="1"/>
      <x:c r="N23" s="1"/>
      <x:c r="O23" s="1"/>
      <x:c r="P23" s="1"/>
      <x:c r="Q23" s="1"/>
    </x:row>
    <x:row r="24">
      <x:c r="A24" s="1"/>
      <x:c r="B24" s="1"/>
      <x:c r="C24" s="1"/>
      <x:c r="D24" s="1"/>
      <x:c r="E24" s="1"/>
      <x:c r="F24" s="1"/>
      <x:c r="G24" s="1"/>
      <x:c r="H24" s="1"/>
      <x:c r="I24" s="1"/>
      <x:c r="J24" s="1"/>
      <x:c r="K24" s="1"/>
      <x:c r="L24" s="1"/>
      <x:c r="M24" s="1"/>
      <x:c r="N24" s="1"/>
      <x:c r="O24" s="1"/>
      <x:c r="P24" s="1"/>
      <x:c r="Q24" s="1"/>
    </x:row>
    <x:row r="25">
      <x:c r="A25" s="1"/>
      <x:c r="B25" s="1"/>
      <x:c r="C25" s="1"/>
      <x:c r="D25" s="1"/>
      <x:c r="E25" s="1"/>
      <x:c r="F25" s="1"/>
      <x:c r="G25" s="1"/>
      <x:c r="H25" s="1"/>
      <x:c r="I25" s="1"/>
      <x:c r="J25" s="1"/>
      <x:c r="K25" s="1"/>
      <x:c r="L25" s="1"/>
      <x:c r="M25" s="1"/>
      <x:c r="N25" s="1"/>
      <x:c r="O25" s="1"/>
      <x:c r="P25" s="1"/>
      <x:c r="Q25" s="1"/>
    </x:row>
    <x:row r="26">
      <x:c r="A26" s="1"/>
      <x:c r="B26" s="1"/>
      <x:c r="C26" s="1"/>
      <x:c r="D26" s="1"/>
      <x:c r="E26" s="1"/>
      <x:c r="F26" s="1"/>
      <x:c r="G26" s="1"/>
      <x:c r="H26" s="1"/>
      <x:c r="I26" s="1"/>
      <x:c r="J26" s="1"/>
      <x:c r="K26" s="1"/>
      <x:c r="L26" s="1"/>
      <x:c r="M26" s="1"/>
      <x:c r="N26" s="1"/>
      <x:c r="O26" s="1"/>
      <x:c r="P26" s="1"/>
      <x:c r="Q26" s="1"/>
    </x:row>
    <x:row r="27">
      <x:c r="A27" s="1"/>
      <x:c r="B27" s="1"/>
      <x:c r="C27" s="1"/>
      <x:c r="D27" s="1"/>
      <x:c r="E27" s="1"/>
      <x:c r="F27" s="1"/>
      <x:c r="G27" s="1"/>
      <x:c r="H27" s="1"/>
      <x:c r="I27" s="1"/>
      <x:c r="J27" s="1"/>
      <x:c r="K27" s="1"/>
      <x:c r="L27" s="1"/>
      <x:c r="M27" s="1"/>
      <x:c r="N27" s="1"/>
      <x:c r="O27" s="1"/>
      <x:c r="P27" s="1"/>
      <x:c r="Q27" s="1"/>
    </x:row>
    <x:row r="28">
      <x:c r="A28" s="1"/>
      <x:c r="B28" s="1"/>
      <x:c r="C28" s="1"/>
      <x:c r="D28" s="1"/>
      <x:c r="E28" s="1"/>
      <x:c r="F28" s="1"/>
      <x:c r="G28" s="1"/>
      <x:c r="H28" s="1"/>
      <x:c r="I28" s="1"/>
      <x:c r="J28" s="1"/>
      <x:c r="K28" s="1"/>
      <x:c r="L28" s="1"/>
      <x:c r="M28" s="1"/>
      <x:c r="N28" s="1"/>
      <x:c r="O28" s="1"/>
      <x:c r="P28" s="1"/>
      <x:c r="Q28" s="1"/>
    </x:row>
    <x:row r="29">
      <x:c r="A29" s="1"/>
      <x:c r="B29" s="1"/>
      <x:c r="C29" s="1"/>
      <x:c r="D29" s="1"/>
      <x:c r="E29" s="1"/>
      <x:c r="F29" s="1"/>
      <x:c r="G29" s="1"/>
      <x:c r="H29" s="1"/>
      <x:c r="I29" s="1"/>
      <x:c r="J29" s="1"/>
      <x:c r="K29" s="1"/>
      <x:c r="L29" s="1"/>
      <x:c r="M29" s="1"/>
      <x:c r="N29" s="1"/>
      <x:c r="O29" s="1"/>
      <x:c r="P29" s="1"/>
      <x:c r="Q29" s="1"/>
    </x:row>
    <x:row r="30">
      <x:c r="A30" s="1"/>
      <x:c r="B30" s="1"/>
      <x:c r="C30" s="1"/>
      <x:c r="D30" s="1"/>
      <x:c r="E30" s="1"/>
      <x:c r="F30" s="1"/>
      <x:c r="G30" s="1"/>
      <x:c r="H30" s="1"/>
      <x:c r="I30" s="1"/>
      <x:c r="J30" s="1"/>
      <x:c r="K30" s="1"/>
      <x:c r="L30" s="1"/>
      <x:c r="M30" s="1"/>
      <x:c r="N30" s="1"/>
      <x:c r="O30" s="1"/>
      <x:c r="P30" s="1"/>
      <x:c r="Q30" s="1"/>
    </x:row>
    <x:row r="31">
      <x:c r="A31" s="1"/>
      <x:c r="B31" s="1"/>
      <x:c r="C31" s="1"/>
      <x:c r="D31" s="1"/>
      <x:c r="E31" s="1"/>
      <x:c r="F31" s="1"/>
      <x:c r="G31" s="1"/>
      <x:c r="H31" s="1"/>
      <x:c r="I31" s="1"/>
      <x:c r="J31" s="1"/>
      <x:c r="K31" s="1"/>
      <x:c r="L31" s="1"/>
      <x:c r="M31" s="1"/>
      <x:c r="N31" s="1"/>
      <x:c r="O31" s="1"/>
      <x:c r="P31" s="1"/>
      <x:c r="Q31" s="1"/>
    </x:row>
    <x:row r="32">
      <x:c r="A32" s="1"/>
      <x:c r="B32" s="1"/>
      <x:c r="C32" s="1"/>
      <x:c r="D32" s="1"/>
      <x:c r="E32" s="1"/>
      <x:c r="F32" s="1"/>
      <x:c r="G32" s="1"/>
      <x:c r="H32" s="1"/>
      <x:c r="I32" s="1"/>
      <x:c r="J32" s="1"/>
      <x:c r="K32" s="1"/>
      <x:c r="L32" s="1"/>
      <x:c r="M32" s="1"/>
      <x:c r="N32" s="1"/>
      <x:c r="O32" s="1"/>
      <x:c r="P32" s="1"/>
      <x:c r="Q32" s="1"/>
    </x:row>
    <x:row r="33">
      <x:c r="A33" s="1"/>
      <x:c r="B33" s="1"/>
      <x:c r="C33" s="1"/>
      <x:c r="D33" s="1"/>
      <x:c r="E33" s="1"/>
      <x:c r="F33" s="1"/>
      <x:c r="G33" s="1"/>
      <x:c r="H33" s="1"/>
      <x:c r="I33" s="1"/>
      <x:c r="J33" s="1"/>
      <x:c r="K33" s="1"/>
      <x:c r="L33" s="1"/>
      <x:c r="M33" s="1"/>
      <x:c r="N33" s="1"/>
      <x:c r="O33" s="1"/>
      <x:c r="P33" s="1"/>
      <x:c r="Q33" s="1"/>
    </x:row>
    <x:row r="34">
      <x:c r="A34" s="1"/>
      <x:c r="B34" s="1"/>
      <x:c r="C34" s="1"/>
      <x:c r="D34" s="1"/>
      <x:c r="E34" s="1"/>
      <x:c r="F34" s="1"/>
      <x:c r="G34" s="1"/>
      <x:c r="H34" s="1"/>
      <x:c r="I34" s="1"/>
      <x:c r="J34" s="1"/>
      <x:c r="K34" s="1"/>
      <x:c r="L34" s="1"/>
      <x:c r="M34" s="1"/>
      <x:c r="N34" s="1"/>
      <x:c r="O34" s="1"/>
      <x:c r="P34" s="1"/>
      <x:c r="Q34" s="1"/>
    </x:row>
    <x:row r="35">
      <x:c r="A35" s="135" t="str">
        <x:v>Decision rule: OUTPERFORMS only when candidate mean RMSE is lower and mean lock retention is not lower. The best replay seed is the most reliable candidate run in the sampled set, ranked by failure-free status, lock retention, RMSE and P95 error; it is not cherry-picked as proof of general performance.</x:v>
      </x:c>
      <x:c r="B35" s="136"/>
      <x:c r="C35" s="136"/>
      <x:c r="D35" s="136"/>
      <x:c r="E35" s="136"/>
      <x:c r="F35" s="136"/>
      <x:c r="G35" s="136"/>
      <x:c r="H35" s="136"/>
      <x:c r="I35" s="136"/>
      <x:c r="J35" s="136"/>
      <x:c r="K35" s="136"/>
      <x:c r="L35" s="136"/>
      <x:c r="M35" s="136"/>
      <x:c r="N35" s="136"/>
      <x:c r="O35" s="137"/>
      <x:c r="P35" s="1"/>
      <x:c r="Q35" s="1"/>
    </x:row>
    <x:row r="36">
      <x:c r="A36" s="138"/>
      <x:c r="B36" s="139"/>
      <x:c r="C36" s="139"/>
      <x:c r="D36" s="139"/>
      <x:c r="E36" s="139"/>
      <x:c r="F36" s="139"/>
      <x:c r="G36" s="139"/>
      <x:c r="H36" s="139"/>
      <x:c r="I36" s="139"/>
      <x:c r="J36" s="139"/>
      <x:c r="K36" s="139"/>
      <x:c r="L36" s="139"/>
      <x:c r="M36" s="139"/>
      <x:c r="N36" s="139"/>
      <x:c r="O36" s="140"/>
      <x:c r="P36" s="1"/>
      <x:c r="Q36" s="1"/>
    </x:row>
    <x:row r="37">
      <x:c r="A37" s="1"/>
      <x:c r="B37" s="1"/>
      <x:c r="C37" s="1"/>
      <x:c r="D37" s="1"/>
      <x:c r="E37" s="1"/>
      <x:c r="F37" s="1"/>
      <x:c r="G37" s="1"/>
      <x:c r="H37" s="1"/>
      <x:c r="I37" s="1"/>
      <x:c r="J37" s="1"/>
      <x:c r="K37" s="1"/>
      <x:c r="L37" s="1"/>
      <x:c r="M37" s="1"/>
      <x:c r="N37" s="1"/>
      <x:c r="O37" s="1"/>
      <x:c r="P37" s="1"/>
      <x:c r="Q37" s="1"/>
    </x:row>
    <x:row r="38">
      <x:c r="A38" s="1"/>
      <x:c r="B38" s="1"/>
      <x:c r="C38" s="1"/>
      <x:c r="D38" s="1"/>
      <x:c r="E38" s="1"/>
      <x:c r="F38" s="1"/>
      <x:c r="G38" s="1"/>
      <x:c r="H38" s="1"/>
      <x:c r="I38" s="1"/>
      <x:c r="J38" s="1"/>
      <x:c r="K38" s="1"/>
      <x:c r="L38" s="1"/>
      <x:c r="M38" s="1"/>
      <x:c r="N38" s="1"/>
      <x:c r="O38" s="1"/>
      <x:c r="P38" s="1"/>
      <x:c r="Q38" s="1"/>
    </x:row>
    <x:row r="39">
      <x:c r="A39" s="1"/>
      <x:c r="B39" s="1"/>
      <x:c r="C39" s="1"/>
      <x:c r="D39" s="1"/>
      <x:c r="E39" s="1"/>
      <x:c r="F39" s="1"/>
      <x:c r="G39" s="1"/>
      <x:c r="H39" s="1"/>
      <x:c r="I39" s="1"/>
      <x:c r="J39" s="1"/>
      <x:c r="K39" s="1"/>
      <x:c r="L39" s="1"/>
      <x:c r="M39" s="1"/>
      <x:c r="N39" s="1"/>
      <x:c r="O39" s="1"/>
      <x:c r="P39" s="1"/>
      <x:c r="Q39" s="1"/>
    </x:row>
    <x:row r="40">
      <x:c r="A40" s="1"/>
      <x:c r="B40" s="1"/>
      <x:c r="C40" s="1"/>
      <x:c r="D40" s="1"/>
      <x:c r="E40" s="1"/>
      <x:c r="F40" s="1"/>
      <x:c r="G40" s="1"/>
      <x:c r="H40" s="1"/>
      <x:c r="I40" s="1"/>
      <x:c r="J40" s="1"/>
      <x:c r="K40" s="1"/>
      <x:c r="L40" s="1"/>
      <x:c r="M40" s="1"/>
      <x:c r="N40" s="1"/>
      <x:c r="O40" s="1"/>
      <x:c r="P40" s="1"/>
      <x:c r="Q40" s="1"/>
    </x:row>
    <x:row r="41">
      <x:c r="A41" s="1"/>
      <x:c r="B41" s="1"/>
      <x:c r="C41" s="1"/>
      <x:c r="D41" s="1"/>
      <x:c r="E41" s="1"/>
      <x:c r="F41" s="1"/>
      <x:c r="G41" s="1"/>
      <x:c r="H41" s="1"/>
      <x:c r="I41" s="1"/>
      <x:c r="J41" s="1"/>
      <x:c r="K41" s="1"/>
      <x:c r="L41" s="1"/>
      <x:c r="M41" s="1"/>
      <x:c r="N41" s="1"/>
      <x:c r="O41" s="1"/>
      <x:c r="P41" s="1"/>
      <x:c r="Q41" s="1"/>
    </x:row>
    <x:row r="42">
      <x:c r="A42" s="1"/>
      <x:c r="B42" s="1"/>
      <x:c r="C42" s="1"/>
      <x:c r="D42" s="1"/>
      <x:c r="E42" s="1"/>
      <x:c r="F42" s="1"/>
      <x:c r="G42" s="1"/>
      <x:c r="H42" s="1"/>
      <x:c r="I42" s="1"/>
      <x:c r="J42" s="1"/>
      <x:c r="K42" s="1"/>
      <x:c r="L42" s="1"/>
      <x:c r="M42" s="1"/>
      <x:c r="N42" s="1"/>
      <x:c r="O42" s="1"/>
      <x:c r="P42" s="1"/>
      <x:c r="Q42" s="1"/>
    </x:row>
    <x:row r="43">
      <x:c r="A43" s="1"/>
      <x:c r="B43" s="1"/>
      <x:c r="C43" s="1"/>
      <x:c r="D43" s="1"/>
      <x:c r="E43" s="1"/>
      <x:c r="F43" s="1"/>
      <x:c r="G43" s="1"/>
      <x:c r="H43" s="1"/>
      <x:c r="I43" s="1"/>
      <x:c r="J43" s="1"/>
      <x:c r="K43" s="1"/>
      <x:c r="L43" s="1"/>
      <x:c r="M43" s="1"/>
      <x:c r="N43" s="1"/>
      <x:c r="O43" s="1"/>
      <x:c r="P43" s="1"/>
      <x:c r="Q43" s="1"/>
    </x:row>
    <x:row r="44">
      <x:c r="A44" s="1"/>
      <x:c r="B44" s="1"/>
      <x:c r="C44" s="1"/>
      <x:c r="D44" s="1"/>
      <x:c r="E44" s="1"/>
      <x:c r="F44" s="1"/>
      <x:c r="G44" s="1"/>
      <x:c r="H44" s="1"/>
      <x:c r="I44" s="1"/>
      <x:c r="J44" s="1"/>
      <x:c r="K44" s="1"/>
      <x:c r="L44" s="1"/>
      <x:c r="M44" s="1"/>
      <x:c r="N44" s="1"/>
      <x:c r="O44" s="1"/>
      <x:c r="P44" s="1"/>
      <x:c r="Q44" s="1"/>
    </x:row>
    <x:row r="45">
      <x:c r="A45" s="1"/>
      <x:c r="B45" s="1"/>
      <x:c r="C45" s="1"/>
      <x:c r="D45" s="1"/>
      <x:c r="E45" s="1"/>
      <x:c r="F45" s="1"/>
      <x:c r="G45" s="1"/>
      <x:c r="H45" s="1"/>
      <x:c r="I45" s="1"/>
      <x:c r="J45" s="1"/>
      <x:c r="K45" s="1"/>
      <x:c r="L45" s="1"/>
      <x:c r="M45" s="1"/>
      <x:c r="N45" s="1"/>
      <x:c r="O45" s="1"/>
      <x:c r="P45" s="1"/>
      <x:c r="Q45" s="1"/>
    </x:row>
    <x:row r="46">
      <x:c r="A46" s="1"/>
      <x:c r="B46" s="1"/>
      <x:c r="C46" s="1"/>
      <x:c r="D46" s="1"/>
      <x:c r="E46" s="1"/>
      <x:c r="F46" s="1"/>
      <x:c r="G46" s="1"/>
      <x:c r="H46" s="1"/>
      <x:c r="I46" s="1"/>
      <x:c r="J46" s="1"/>
      <x:c r="K46" s="1"/>
      <x:c r="L46" s="1"/>
      <x:c r="M46" s="1"/>
      <x:c r="N46" s="1"/>
      <x:c r="O46" s="1"/>
      <x:c r="P46" s="1"/>
      <x:c r="Q46" s="1"/>
    </x:row>
    <x:row r="47">
      <x:c r="A47" s="1"/>
      <x:c r="B47" s="1"/>
      <x:c r="C47" s="1"/>
      <x:c r="D47" s="1"/>
      <x:c r="E47" s="1"/>
      <x:c r="F47" s="1"/>
      <x:c r="G47" s="1"/>
      <x:c r="H47" s="1"/>
      <x:c r="I47" s="1"/>
      <x:c r="J47" s="1"/>
      <x:c r="K47" s="1"/>
      <x:c r="L47" s="1"/>
      <x:c r="M47" s="1"/>
      <x:c r="N47" s="1"/>
      <x:c r="O47" s="1"/>
      <x:c r="P47" s="1"/>
      <x:c r="Q47" s="1"/>
    </x:row>
    <x:row r="48">
      <x:c r="A48" s="1"/>
      <x:c r="B48" s="1"/>
      <x:c r="C48" s="1"/>
      <x:c r="D48" s="1"/>
      <x:c r="E48" s="1"/>
      <x:c r="F48" s="1"/>
      <x:c r="G48" s="1"/>
      <x:c r="H48" s="1"/>
      <x:c r="I48" s="1"/>
      <x:c r="J48" s="1"/>
      <x:c r="K48" s="1"/>
      <x:c r="L48" s="1"/>
      <x:c r="M48" s="1"/>
      <x:c r="N48" s="1"/>
      <x:c r="O48" s="1"/>
      <x:c r="P48" s="1"/>
      <x:c r="Q48" s="1"/>
    </x:row>
    <x:row r="49">
      <x:c r="A49" s="1"/>
      <x:c r="B49" s="1"/>
      <x:c r="C49" s="1"/>
      <x:c r="D49" s="1"/>
      <x:c r="E49" s="1"/>
      <x:c r="F49" s="1"/>
      <x:c r="G49" s="1"/>
      <x:c r="H49" s="1"/>
      <x:c r="I49" s="1"/>
      <x:c r="J49" s="1"/>
      <x:c r="K49" s="1"/>
      <x:c r="L49" s="1"/>
      <x:c r="M49" s="1"/>
      <x:c r="N49" s="1"/>
      <x:c r="O49" s="1"/>
      <x:c r="P49" s="1"/>
      <x:c r="Q49" s="1"/>
    </x:row>
    <x:row r="50">
      <x:c r="A50" s="1"/>
      <x:c r="B50" s="1"/>
      <x:c r="C50" s="1"/>
      <x:c r="D50" s="1"/>
      <x:c r="E50" s="1"/>
      <x:c r="F50" s="1"/>
      <x:c r="G50" s="1"/>
      <x:c r="H50" s="1"/>
      <x:c r="I50" s="1"/>
      <x:c r="J50" s="1"/>
      <x:c r="K50" s="1"/>
      <x:c r="L50" s="1"/>
      <x:c r="M50" s="1"/>
      <x:c r="N50" s="1"/>
      <x:c r="O50" s="1"/>
      <x:c r="P50" s="1"/>
      <x:c r="Q50" s="1"/>
    </x:row>
    <x:row r="51">
      <x:c r="A51" s="1"/>
      <x:c r="B51" s="1"/>
      <x:c r="C51" s="1"/>
      <x:c r="D51" s="1"/>
      <x:c r="E51" s="1"/>
      <x:c r="F51" s="1"/>
      <x:c r="G51" s="1"/>
      <x:c r="H51" s="1"/>
      <x:c r="I51" s="1"/>
      <x:c r="J51" s="1"/>
      <x:c r="K51" s="1"/>
      <x:c r="L51" s="1"/>
      <x:c r="M51" s="1"/>
      <x:c r="N51" s="1"/>
      <x:c r="O51" s="1"/>
      <x:c r="P51" s="1"/>
      <x:c r="Q51" s="1"/>
    </x:row>
    <x:row r="52">
      <x:c r="A52" s="1"/>
      <x:c r="B52" s="1"/>
      <x:c r="C52" s="1"/>
      <x:c r="D52" s="1"/>
      <x:c r="E52" s="1"/>
      <x:c r="F52" s="1"/>
      <x:c r="G52" s="1"/>
      <x:c r="H52" s="1"/>
      <x:c r="I52" s="1"/>
      <x:c r="J52" s="1"/>
      <x:c r="K52" s="1"/>
      <x:c r="L52" s="1"/>
      <x:c r="M52" s="1"/>
      <x:c r="N52" s="1"/>
      <x:c r="O52" s="1"/>
      <x:c r="P52" s="1"/>
      <x:c r="Q52" s="1"/>
    </x:row>
    <x:row r="53">
      <x:c r="A53" s="1"/>
      <x:c r="B53" s="1"/>
      <x:c r="C53" s="1"/>
      <x:c r="D53" s="1"/>
      <x:c r="E53" s="1"/>
      <x:c r="F53" s="1"/>
      <x:c r="G53" s="1"/>
      <x:c r="H53" s="1"/>
      <x:c r="I53" s="1"/>
      <x:c r="J53" s="1"/>
      <x:c r="K53" s="1"/>
      <x:c r="L53" s="1"/>
      <x:c r="M53" s="1"/>
      <x:c r="N53" s="1"/>
      <x:c r="O53" s="1"/>
      <x:c r="P53" s="1"/>
      <x:c r="Q53" s="1"/>
    </x:row>
    <x:row r="54">
      <x:c r="A54" s="1"/>
      <x:c r="B54" s="1"/>
      <x:c r="C54" s="1"/>
      <x:c r="D54" s="1"/>
      <x:c r="E54" s="1"/>
      <x:c r="F54" s="1"/>
      <x:c r="G54" s="1"/>
      <x:c r="H54" s="1"/>
      <x:c r="I54" s="1"/>
      <x:c r="J54" s="1"/>
      <x:c r="K54" s="1"/>
      <x:c r="L54" s="1"/>
      <x:c r="M54" s="1"/>
      <x:c r="N54" s="1"/>
      <x:c r="O54" s="1"/>
      <x:c r="P54" s="1"/>
      <x:c r="Q54" s="1"/>
    </x:row>
    <x:row r="55">
      <x:c r="A55" s="1"/>
      <x:c r="B55" s="1"/>
      <x:c r="C55" s="1"/>
      <x:c r="D55" s="1"/>
      <x:c r="E55" s="1"/>
      <x:c r="F55" s="1"/>
      <x:c r="G55" s="1"/>
      <x:c r="H55" s="1"/>
      <x:c r="I55" s="1"/>
      <x:c r="J55" s="1"/>
      <x:c r="K55" s="1"/>
      <x:c r="L55" s="1"/>
      <x:c r="M55" s="1"/>
      <x:c r="N55" s="1"/>
      <x:c r="O55" s="1"/>
      <x:c r="P55" s="1"/>
      <x:c r="Q55" s="1"/>
    </x:row>
    <x:row r="56">
      <x:c r="A56" s="1"/>
      <x:c r="B56" s="1"/>
      <x:c r="C56" s="1"/>
      <x:c r="D56" s="1"/>
      <x:c r="E56" s="1"/>
      <x:c r="F56" s="1"/>
      <x:c r="G56" s="1"/>
      <x:c r="H56" s="1"/>
      <x:c r="I56" s="1"/>
      <x:c r="J56" s="1"/>
      <x:c r="K56" s="1"/>
      <x:c r="L56" s="1"/>
      <x:c r="M56" s="1"/>
      <x:c r="N56" s="1"/>
      <x:c r="O56" s="1"/>
      <x:c r="P56" s="1"/>
      <x:c r="Q56" s="1"/>
    </x:row>
    <x:row r="57">
      <x:c r="A57" s="1"/>
      <x:c r="B57" s="1"/>
      <x:c r="C57" s="1"/>
      <x:c r="D57" s="1"/>
      <x:c r="E57" s="1"/>
      <x:c r="F57" s="1"/>
      <x:c r="G57" s="1"/>
      <x:c r="H57" s="1"/>
      <x:c r="I57" s="1"/>
      <x:c r="J57" s="1"/>
      <x:c r="K57" s="1"/>
      <x:c r="L57" s="1"/>
      <x:c r="M57" s="1"/>
      <x:c r="N57" s="1"/>
      <x:c r="O57" s="1"/>
      <x:c r="P57" s="1"/>
      <x:c r="Q57" s="1"/>
    </x:row>
    <x:row r="58">
      <x:c r="A58" s="1"/>
      <x:c r="B58" s="1"/>
      <x:c r="C58" s="1"/>
      <x:c r="D58" s="1"/>
      <x:c r="E58" s="1"/>
      <x:c r="F58" s="1"/>
      <x:c r="G58" s="1"/>
      <x:c r="H58" s="1"/>
      <x:c r="I58" s="1"/>
      <x:c r="J58" s="1"/>
      <x:c r="K58" s="1"/>
      <x:c r="L58" s="1"/>
      <x:c r="M58" s="1"/>
      <x:c r="N58" s="1"/>
      <x:c r="O58" s="1"/>
      <x:c r="P58" s="1"/>
      <x:c r="Q58" s="1"/>
    </x:row>
    <x:row r="59">
      <x:c r="A59" s="1"/>
      <x:c r="B59" s="1"/>
      <x:c r="C59" s="1"/>
      <x:c r="D59" s="1"/>
      <x:c r="E59" s="1"/>
      <x:c r="F59" s="1"/>
      <x:c r="G59" s="1"/>
      <x:c r="H59" s="1"/>
      <x:c r="I59" s="1"/>
      <x:c r="J59" s="1"/>
      <x:c r="K59" s="1"/>
      <x:c r="L59" s="1"/>
      <x:c r="M59" s="1"/>
      <x:c r="N59" s="1"/>
      <x:c r="O59" s="1"/>
      <x:c r="P59" s="1"/>
      <x:c r="Q59" s="1"/>
    </x:row>
    <x:row r="60">
      <x:c r="A60" s="1"/>
      <x:c r="B60" s="1"/>
      <x:c r="C60" s="1"/>
      <x:c r="D60" s="1"/>
      <x:c r="E60" s="1"/>
      <x:c r="F60" s="1"/>
      <x:c r="G60" s="1"/>
      <x:c r="H60" s="1"/>
      <x:c r="I60" s="1"/>
      <x:c r="J60" s="1"/>
      <x:c r="K60" s="1"/>
      <x:c r="L60" s="1"/>
      <x:c r="M60" s="1"/>
      <x:c r="N60" s="1"/>
      <x:c r="O60" s="1"/>
      <x:c r="P60" s="1"/>
      <x:c r="Q60" s="1"/>
    </x:row>
  </x:sheetData>
  <x:mergeCells>
    <x:mergeCell ref="A1:O2"/>
    <x:mergeCell ref="A3:O3"/>
    <x:mergeCell ref="A5:C5"/>
    <x:mergeCell ref="A6:C6"/>
    <x:mergeCell ref="D5:F5"/>
    <x:mergeCell ref="D6:F6"/>
    <x:mergeCell ref="G5:I5"/>
    <x:mergeCell ref="G6:I6"/>
    <x:mergeCell ref="J5:L5"/>
    <x:mergeCell ref="J6:L6"/>
    <x:mergeCell ref="M5:O5"/>
    <x:mergeCell ref="M6:O6"/>
    <x:mergeCell ref="A8:O8"/>
    <x:mergeCell ref="A35:O36"/>
  </x:mergeCells>
  <x:conditionalFormatting sqref="A11:O15">
    <x:cfRule type="expression" dxfId="0" priority="1">
      <x:formula>MOD(ROW(),2)=0</x:formula>
    </x:cfRule>
  </x:conditionalFormatting>
  <x:conditionalFormatting sqref="H11:H15">
    <x:cfRule type="cellIs" dxfId="1" priority="2" operator="lessThan">
      <x:formula>0</x:formula>
    </x:cfRule>
    <x:cfRule type="cellIs" dxfId="2" priority="3" operator="greaterThan">
      <x:formula>0</x:formula>
    </x:cfRule>
  </x:conditionalFormatting>
  <x:conditionalFormatting sqref="K11:K15">
    <x:cfRule type="cellIs" dxfId="3" priority="4" operator="greaterThan">
      <x:formula>0</x:formula>
    </x:cfRule>
    <x:cfRule type="cellIs" dxfId="4" priority="5" operator="lessThan">
      <x:formula>0</x:formula>
    </x:cfRule>
  </x:conditionalFormatting>
  <x:conditionalFormatting sqref="N11:N15">
    <x:cfRule type="containsText" dxfId="5" priority="6" operator="containsText" text="OUTPERFORMS"/>
    <x:cfRule type="containsText" dxfId="6" priority="7" operator="containsText" text="UNDERPERFORMS"/>
    <x:cfRule type="containsText" dxfId="7" priority="8" operator="containsText" text="NO CLEAR GAIN"/>
  </x:conditionalFormatting>
  <x:pageMargins left="0.7" right="0.7" top="0.75" bottom="0.75" header="0.3" footer="0.3"/>
  <x:drawing xmlns:r="http://schemas.openxmlformats.org/officeDocument/2006/relationships" r:id="Ra02ae0c923f34165"/>
</x:worksheet>
</file>

<file path=xl/worksheets/sheet2.xml><?xml version="1.0" encoding="utf-8"?>
<x:worksheet xmlns:x="http://schemas.openxmlformats.org/spreadsheetml/2006/main">
  <x:sheetPr>
    <x:tabColor rgb="FF5B9BD5"/>
  </x:sheetPr>
  <x:sheetViews>
    <x:sheetView showGridLines="0" workbookViewId="0">
      <x:pane ySplit="5" topLeftCell="A6" activePane="bottomLeft" state="frozen"/>
    </x:sheetView>
  </x:sheetViews>
  <x:sheetFormatPr defaultRowHeight="15"/>
  <x:cols>
    <x:col min="1" max="1" width="22" hidden="0" customWidth="1"/>
    <x:col min="2" max="2" width="31" hidden="0" customWidth="1"/>
    <x:col min="3" max="3" width="27" hidden="0" customWidth="1"/>
    <x:col min="4" max="4" width="34" hidden="0" customWidth="1"/>
    <x:col min="5" max="5" width="12" hidden="0" customWidth="1"/>
    <x:col min="6" max="6" width="13" hidden="0" customWidth="1"/>
    <x:col min="7" max="7" width="16" hidden="0" customWidth="1"/>
    <x:col min="8" max="8" width="14" hidden="0" customWidth="1"/>
    <x:col min="9" max="9" width="14" hidden="0" customWidth="1"/>
    <x:col min="10" max="10" width="12" hidden="0" customWidth="1"/>
    <x:col min="11" max="11" width="15" hidden="0" customWidth="1"/>
    <x:col min="12" max="12" width="18" hidden="0" customWidth="1"/>
    <x:col min="13" max="13" width="22" hidden="0" customWidth="1"/>
    <x:col min="14" max="14" width="38" hidden="0" customWidth="1"/>
  </x:cols>
  <x:sheetData>
    <x:row r="1" ht="28" customHeight="1">
      <x:c r="A1" s="142" t="str">
        <x:v>Best replay seeds · deterministic examples</x:v>
      </x:c>
      <x:c r="B1" s="142"/>
      <x:c r="C1" s="142"/>
      <x:c r="D1" s="142"/>
      <x:c r="E1" s="142"/>
      <x:c r="F1" s="142"/>
      <x:c r="G1" s="142"/>
      <x:c r="H1" s="142"/>
      <x:c r="I1" s="142"/>
      <x:c r="J1" s="142"/>
      <x:c r="K1" s="142"/>
      <x:c r="L1" s="142"/>
      <x:c r="M1" s="142"/>
      <x:c r="N1" s="142"/>
      <x:c r="O1" s="1"/>
      <x:c r="P1" s="1"/>
      <x:c r="Q1" s="1"/>
    </x:row>
    <x:row r="2" ht="28" customHeight="1">
      <x:c r="A2" s="142"/>
      <x:c r="B2" s="142"/>
      <x:c r="C2" s="142"/>
      <x:c r="D2" s="142"/>
      <x:c r="E2" s="142"/>
      <x:c r="F2" s="142"/>
      <x:c r="G2" s="142"/>
      <x:c r="H2" s="142"/>
      <x:c r="I2" s="142"/>
      <x:c r="J2" s="142"/>
      <x:c r="K2" s="142"/>
      <x:c r="L2" s="142"/>
      <x:c r="M2" s="142"/>
      <x:c r="N2" s="142"/>
      <x:c r="O2" s="1"/>
      <x:c r="P2" s="1"/>
      <x:c r="Q2" s="1"/>
    </x:row>
    <x:row r="3" ht="34" customHeight="1">
      <x:c r="A3" s="111" t="str">
        <x:v>Use these seeds for a repeatable demo. Average performance and failure counts on the Comparison sheet remain the real decision evidence.</x:v>
      </x:c>
      <x:c r="B3" s="111"/>
      <x:c r="C3" s="111"/>
      <x:c r="D3" s="111"/>
      <x:c r="E3" s="111"/>
      <x:c r="F3" s="111"/>
      <x:c r="G3" s="111"/>
      <x:c r="H3" s="111"/>
      <x:c r="I3" s="111"/>
      <x:c r="J3" s="111"/>
      <x:c r="K3" s="111"/>
      <x:c r="L3" s="111"/>
      <x:c r="M3" s="111"/>
      <x:c r="N3" s="111"/>
      <x:c r="O3" s="1"/>
      <x:c r="P3" s="1"/>
      <x:c r="Q3" s="1"/>
    </x:row>
    <x:row r="4">
      <x:c r="A4" s="1"/>
      <x:c r="B4" s="1"/>
      <x:c r="C4" s="1"/>
      <x:c r="D4" s="1"/>
      <x:c r="E4" s="1"/>
      <x:c r="F4" s="1"/>
      <x:c r="G4" s="1"/>
      <x:c r="H4" s="1"/>
      <x:c r="I4" s="1"/>
      <x:c r="J4" s="1"/>
      <x:c r="K4" s="1"/>
      <x:c r="L4" s="1"/>
      <x:c r="M4" s="1"/>
      <x:c r="N4" s="1"/>
      <x:c r="O4" s="1"/>
      <x:c r="P4" s="1"/>
      <x:c r="Q4" s="1"/>
    </x:row>
    <x:row r="5" ht="42" customHeight="1">
      <x:c r="A5" s="145" t="str">
        <x:v>Case</x:v>
      </x:c>
      <x:c r="B5" s="145" t="str">
        <x:v>Scenario preset</x:v>
      </x:c>
      <x:c r="C5" s="145" t="str">
        <x:v>Named candidate</x:v>
      </x:c>
      <x:c r="D5" s="145" t="str">
        <x:v>Candidate pipeline</x:v>
      </x:c>
      <x:c r="E5" s="145" t="str">
        <x:v>Duration (s)</x:v>
      </x:c>
      <x:c r="F5" s="145" t="str">
        <x:v>Base seed</x:v>
      </x:c>
      <x:c r="G5" s="145" t="str">
        <x:v>Best replay seed</x:v>
      </x:c>
      <x:c r="H5" s="145" t="str">
        <x:v>Best RMSE (px)</x:v>
      </x:c>
      <x:c r="I5" s="145" t="str">
        <x:v>Best P95 (px)</x:v>
      </x:c>
      <x:c r="J5" s="145" t="str">
        <x:v>Best lock</x:v>
      </x:c>
      <x:c r="K5" s="145" t="str">
        <x:v>Best latency (ms)</x:v>
      </x:c>
      <x:c r="L5" s="145" t="str">
        <x:v>Best-run failure</x:v>
      </x:c>
      <x:c r="M5" s="145" t="str">
        <x:v>10-run failure count</x:v>
      </x:c>
      <x:c r="N5" s="145" t="str">
        <x:v>Batch ID</x:v>
      </x:c>
      <x:c r="O5" s="1"/>
      <x:c r="P5" s="1"/>
      <x:c r="Q5" s="1"/>
    </x:row>
    <x:row r="6" ht="58" customHeight="1">
      <x:c r="A6" s="118" t="str">
        <x:v>Nominal satellite pair</x:v>
      </x:c>
      <x:c r="B6" s="118" t="str">
        <x:v>DEMO_1_NOMINAL_SAT_SAT</x:v>
      </x:c>
      <x:c r="C6" s="118" t="str">
        <x:v>BEST_CLASSICAL_LOCALIZER</x:v>
      </x:c>
      <x:c r="D6" s="118" t="str">
        <x:v>gradient_centroid → none → kalman → none → pid → basic</x:v>
      </x:c>
      <x:c r="E6" s="118" t="n">
        <x:v>2</x:v>
      </x:c>
      <x:c r="F6" s="118" t="n">
        <x:v>26169</x:v>
      </x:c>
      <x:c r="G6" s="147" t="n">
        <x:v>354230102</x:v>
      </x:c>
      <x:c r="H6" s="119" t="n">
        <x:v>0.016286600717405387</x:v>
      </x:c>
      <x:c r="I6" s="119" t="n">
        <x:v>0.02144607179879908</x:v>
      </x:c>
      <x:c r="J6" s="121" t="n">
        <x:v>1</x:v>
      </x:c>
      <x:c r="K6" s="123" t="n">
        <x:v>3.1875250046141446</x:v>
      </x:c>
      <x:c r="L6" s="118" t="str">
        <x:v>None</x:v>
      </x:c>
      <x:c r="M6" s="118" t="str">
        <x:v>None</x:v>
      </x:c>
      <x:c r="N6" s="118" t="str">
        <x:v>80d825b7-c3ac-43cd-9762-2b8b94310512</x:v>
      </x:c>
      <x:c r="O6" s="1"/>
      <x:c r="P6" s="1"/>
      <x:c r="Q6" s="1"/>
    </x:row>
    <x:row r="7" ht="58" customHeight="1">
      <x:c r="A7" s="118" t="str">
        <x:v>High platform vibration</x:v>
      </x:c>
      <x:c r="B7" s="118" t="str">
        <x:v>DEMO_2_HIGH_VIBRATION</x:v>
      </x:c>
      <x:c r="C7" s="118" t="str">
        <x:v>BEST_CLASSICAL_ESTIMATOR</x:v>
      </x:c>
      <x:c r="D7" s="118" t="str">
        <x:v>gradient_centroid → none → ukf_angular → none → pid → basic</x:v>
      </x:c>
      <x:c r="E7" s="118" t="n">
        <x:v>2</x:v>
      </x:c>
      <x:c r="F7" s="118" t="n">
        <x:v>27169</x:v>
      </x:c>
      <x:c r="G7" s="147" t="n">
        <x:v>148738825</x:v>
      </x:c>
      <x:c r="H7" s="119" t="n">
        <x:v>0.14927237495595044</x:v>
      </x:c>
      <x:c r="I7" s="119" t="n">
        <x:v>0.27780782330360676</x:v>
      </x:c>
      <x:c r="J7" s="121" t="n">
        <x:v>1</x:v>
      </x:c>
      <x:c r="K7" s="123" t="n">
        <x:v>5.565635004313663</x:v>
      </x:c>
      <x:c r="L7" s="118" t="str">
        <x:v>None</x:v>
      </x:c>
      <x:c r="M7" s="118" t="str">
        <x:v>None</x:v>
      </x:c>
      <x:c r="N7" s="118" t="str">
        <x:v>c305b053-c3a5-4a64-995e-e9e3148c5bc0</x:v>
      </x:c>
      <x:c r="O7" s="1"/>
      <x:c r="P7" s="1"/>
      <x:c r="Q7" s="1"/>
    </x:row>
    <x:row r="8" ht="58" customHeight="1">
      <x:c r="A8" s="118" t="str">
        <x:v>Weak ground beacon</x:v>
      </x:c>
      <x:c r="B8" s="118" t="str">
        <x:v>DEMO_3_WEAK_BEACON_GROUND_SAT</x:v>
      </x:c>
      <x:c r="C8" s="118" t="str">
        <x:v>AI_MEASUREMENT_HYBRID</x:v>
      </x:c>
      <x:c r="D8" s="118" t="str">
        <x:v>gradient_centroid → cnn_residual → akf_r → none → pid → basic</x:v>
      </x:c>
      <x:c r="E8" s="118" t="n">
        <x:v>2</x:v>
      </x:c>
      <x:c r="F8" s="118" t="n">
        <x:v>28169</x:v>
      </x:c>
      <x:c r="G8" s="147" t="n">
        <x:v>3764732521</x:v>
      </x:c>
      <x:c r="H8" s="119" t="n">
        <x:v>2.589901298105518</x:v>
      </x:c>
      <x:c r="I8" s="119" t="n">
        <x:v>5.472465744513341</x:v>
      </x:c>
      <x:c r="J8" s="121" t="n">
        <x:v>0.45</x:v>
      </x:c>
      <x:c r="K8" s="123" t="n">
        <x:v>3.951395003241487</x:v>
      </x:c>
      <x:c r="L8" s="118" t="str">
        <x:v>BEACON_TOO_WEAK</x:v>
      </x:c>
      <x:c r="M8" s="118" t="str">
        <x:v>BEACON_TOO_WEAK: 10/10</x:v>
      </x:c>
      <x:c r="N8" s="118" t="str">
        <x:v>77712eaf-3f16-46b8-90e8-b07cc317b0f5</x:v>
      </x:c>
      <x:c r="O8" s="1"/>
      <x:c r="P8" s="1"/>
      <x:c r="Q8" s="1"/>
    </x:row>
    <x:row r="9" ht="58" customHeight="1">
      <x:c r="A9" s="118" t="str">
        <x:v>Hard beacon dropout</x:v>
      </x:c>
      <x:c r="B9" s="118" t="str">
        <x:v>DEMO_4_DROPOUT_REACQUISITION</x:v>
      </x:c>
      <x:c r="C9" s="118" t="str">
        <x:v>CUSTOM_PREDICTIVE_SEARCH</x:v>
      </x:c>
      <x:c r="D9" s="118" t="str">
        <x:v>centroid → none → kalman → none → pid → predictive_covariance</x:v>
      </x:c>
      <x:c r="E9" s="118" t="n">
        <x:v>7</x:v>
      </x:c>
      <x:c r="F9" s="118" t="n">
        <x:v>29169</x:v>
      </x:c>
      <x:c r="G9" s="147" t="n">
        <x:v>692661495</x:v>
      </x:c>
      <x:c r="H9" s="119" t="n">
        <x:v>0.721910830320811</x:v>
      </x:c>
      <x:c r="I9" s="119" t="n">
        <x:v>1.9215214797922646</x:v>
      </x:c>
      <x:c r="J9" s="121" t="n">
        <x:v>0.7857142857142857</x:v>
      </x:c>
      <x:c r="K9" s="123" t="n">
        <x:v>6.966905717438619</x:v>
      </x:c>
      <x:c r="L9" s="118" t="str">
        <x:v>DROPOUT</x:v>
      </x:c>
      <x:c r="M9" s="118" t="str">
        <x:v>DROPOUT: 10/10</x:v>
      </x:c>
      <x:c r="N9" s="118" t="str">
        <x:v>97722b4c-7c29-4734-a943-7f91961dc475</x:v>
      </x:c>
      <x:c r="O9" s="1"/>
      <x:c r="P9" s="1"/>
      <x:c r="Q9" s="1"/>
    </x:row>
    <x:row r="10" ht="58" customHeight="1">
      <x:c r="A10" s="118" t="str">
        <x:v>Aggressive UAV motion</x:v>
      </x:c>
      <x:c r="B10" s="118" t="str">
        <x:v>DEMO_5_AGGRESSIVE_UAV</x:v>
      </x:c>
      <x:c r="C10" s="118" t="str">
        <x:v>CONTROL_FF_PID</x:v>
      </x:c>
      <x:c r="D10" s="118" t="str">
        <x:v>centroid → none → kalman → cv → ff_pid → basic</x:v>
      </x:c>
      <x:c r="E10" s="118" t="n">
        <x:v>4.5</x:v>
      </x:c>
      <x:c r="F10" s="118" t="n">
        <x:v>30169</x:v>
      </x:c>
      <x:c r="G10" s="147" t="n">
        <x:v>2718213872</x:v>
      </x:c>
      <x:c r="H10" s="119" t="n">
        <x:v>3.261136445924164</x:v>
      </x:c>
      <x:c r="I10" s="119" t="n">
        <x:v>4.1951571045321865</x:v>
      </x:c>
      <x:c r="J10" s="121" t="n">
        <x:v>1</x:v>
      </x:c>
      <x:c r="K10" s="123" t="n">
        <x:v>7.188773335009399</x:v>
      </x:c>
      <x:c r="L10" s="118" t="str">
        <x:v>None</x:v>
      </x:c>
      <x:c r="M10" s="118" t="str">
        <x:v>None</x:v>
      </x:c>
      <x:c r="N10" s="118" t="str">
        <x:v>7450ad59-2d83-4a6c-bd3e-b74342145c04</x:v>
      </x:c>
      <x:c r="O10" s="1"/>
      <x:c r="P10" s="1"/>
      <x:c r="Q10" s="1"/>
    </x:row>
    <x:row r="11">
      <x:c r="A11" s="1"/>
      <x:c r="B11" s="1"/>
      <x:c r="C11" s="1"/>
      <x:c r="D11" s="1"/>
      <x:c r="E11" s="1"/>
      <x:c r="F11" s="1"/>
      <x:c r="G11" s="1"/>
      <x:c r="H11" s="1"/>
      <x:c r="I11" s="1"/>
      <x:c r="J11" s="1"/>
      <x:c r="K11" s="1"/>
      <x:c r="L11" s="1"/>
      <x:c r="M11" s="1"/>
      <x:c r="N11" s="1"/>
      <x:c r="O11" s="1"/>
      <x:c r="P11" s="1"/>
      <x:c r="Q11" s="1"/>
    </x:row>
    <x:row r="12">
      <x:c r="A12" s="1"/>
      <x:c r="B12" s="1"/>
      <x:c r="C12" s="1"/>
      <x:c r="D12" s="1"/>
      <x:c r="E12" s="1"/>
      <x:c r="F12" s="1"/>
      <x:c r="G12" s="1"/>
      <x:c r="H12" s="1"/>
      <x:c r="I12" s="1"/>
      <x:c r="J12" s="1"/>
      <x:c r="K12" s="1"/>
      <x:c r="L12" s="1"/>
      <x:c r="M12" s="1"/>
      <x:c r="N12" s="1"/>
      <x:c r="O12" s="1"/>
      <x:c r="P12" s="1"/>
      <x:c r="Q12" s="1"/>
    </x:row>
    <x:row r="13">
      <x:c r="A13" s="1"/>
      <x:c r="B13" s="1"/>
      <x:c r="C13" s="1"/>
      <x:c r="D13" s="1"/>
      <x:c r="E13" s="1"/>
      <x:c r="F13" s="1"/>
      <x:c r="G13" s="1"/>
      <x:c r="H13" s="1"/>
      <x:c r="I13" s="1"/>
      <x:c r="J13" s="1"/>
      <x:c r="K13" s="1"/>
      <x:c r="L13" s="1"/>
      <x:c r="M13" s="1"/>
      <x:c r="N13" s="1"/>
      <x:c r="O13" s="1"/>
      <x:c r="P13" s="1"/>
      <x:c r="Q13" s="1"/>
    </x:row>
    <x:row r="14">
      <x:c r="A14" s="1"/>
      <x:c r="B14" s="1"/>
      <x:c r="C14" s="1"/>
      <x:c r="D14" s="1"/>
      <x:c r="E14" s="1"/>
      <x:c r="F14" s="1"/>
      <x:c r="G14" s="1"/>
      <x:c r="H14" s="1"/>
      <x:c r="I14" s="1"/>
      <x:c r="J14" s="1"/>
      <x:c r="K14" s="1"/>
      <x:c r="L14" s="1"/>
      <x:c r="M14" s="1"/>
      <x:c r="N14" s="1"/>
      <x:c r="O14" s="1"/>
      <x:c r="P14" s="1"/>
      <x:c r="Q14" s="1"/>
    </x:row>
    <x:row r="15">
      <x:c r="A15" s="1"/>
      <x:c r="B15" s="1"/>
      <x:c r="C15" s="1"/>
      <x:c r="D15" s="1"/>
      <x:c r="E15" s="1"/>
      <x:c r="F15" s="1"/>
      <x:c r="G15" s="1"/>
      <x:c r="H15" s="1"/>
      <x:c r="I15" s="1"/>
      <x:c r="J15" s="1"/>
      <x:c r="K15" s="1"/>
      <x:c r="L15" s="1"/>
      <x:c r="M15" s="1"/>
      <x:c r="N15" s="1"/>
      <x:c r="O15" s="1"/>
      <x:c r="P15" s="1"/>
      <x:c r="Q15" s="1"/>
    </x:row>
    <x:row r="16">
      <x:c r="A16" s="1"/>
      <x:c r="B16" s="1"/>
      <x:c r="C16" s="1"/>
      <x:c r="D16" s="1"/>
      <x:c r="E16" s="1"/>
      <x:c r="F16" s="1"/>
      <x:c r="G16" s="1"/>
      <x:c r="H16" s="1"/>
      <x:c r="I16" s="1"/>
      <x:c r="J16" s="1"/>
      <x:c r="K16" s="1"/>
      <x:c r="L16" s="1"/>
      <x:c r="M16" s="1"/>
      <x:c r="N16" s="1"/>
      <x:c r="O16" s="1"/>
      <x:c r="P16" s="1"/>
      <x:c r="Q16" s="1"/>
    </x:row>
    <x:row r="17">
      <x:c r="A17" s="1"/>
      <x:c r="B17" s="1"/>
      <x:c r="C17" s="1"/>
      <x:c r="D17" s="1"/>
      <x:c r="E17" s="1"/>
      <x:c r="F17" s="1"/>
      <x:c r="G17" s="1"/>
      <x:c r="H17" s="1"/>
      <x:c r="I17" s="1"/>
      <x:c r="J17" s="1"/>
      <x:c r="K17" s="1"/>
      <x:c r="L17" s="1"/>
      <x:c r="M17" s="1"/>
      <x:c r="N17" s="1"/>
      <x:c r="O17" s="1"/>
      <x:c r="P17" s="1"/>
      <x:c r="Q17" s="1"/>
    </x:row>
    <x:row r="18">
      <x:c r="A18" s="1"/>
      <x:c r="B18" s="1"/>
      <x:c r="C18" s="1"/>
      <x:c r="D18" s="1"/>
      <x:c r="E18" s="1"/>
      <x:c r="F18" s="1"/>
      <x:c r="G18" s="1"/>
      <x:c r="H18" s="1"/>
      <x:c r="I18" s="1"/>
      <x:c r="J18" s="1"/>
      <x:c r="K18" s="1"/>
      <x:c r="L18" s="1"/>
      <x:c r="M18" s="1"/>
      <x:c r="N18" s="1"/>
      <x:c r="O18" s="1"/>
      <x:c r="P18" s="1"/>
      <x:c r="Q18" s="1"/>
    </x:row>
    <x:row r="19">
      <x:c r="A19" s="1"/>
      <x:c r="B19" s="1"/>
      <x:c r="C19" s="1"/>
      <x:c r="D19" s="1"/>
      <x:c r="E19" s="1"/>
      <x:c r="F19" s="1"/>
      <x:c r="G19" s="1"/>
      <x:c r="H19" s="1"/>
      <x:c r="I19" s="1"/>
      <x:c r="J19" s="1"/>
      <x:c r="K19" s="1"/>
      <x:c r="L19" s="1"/>
      <x:c r="M19" s="1"/>
      <x:c r="N19" s="1"/>
      <x:c r="O19" s="1"/>
      <x:c r="P19" s="1"/>
      <x:c r="Q19" s="1"/>
    </x:row>
    <x:row r="20">
      <x:c r="A20" s="1"/>
      <x:c r="B20" s="1"/>
      <x:c r="C20" s="1"/>
      <x:c r="D20" s="1"/>
      <x:c r="E20" s="1"/>
      <x:c r="F20" s="1"/>
      <x:c r="G20" s="1"/>
      <x:c r="H20" s="1"/>
      <x:c r="I20" s="1"/>
      <x:c r="J20" s="1"/>
      <x:c r="K20" s="1"/>
      <x:c r="L20" s="1"/>
      <x:c r="M20" s="1"/>
      <x:c r="N20" s="1"/>
      <x:c r="O20" s="1"/>
      <x:c r="P20" s="1"/>
      <x:c r="Q20" s="1"/>
    </x:row>
    <x:row r="21">
      <x:c r="A21" s="1"/>
      <x:c r="B21" s="1"/>
      <x:c r="C21" s="1"/>
      <x:c r="D21" s="1"/>
      <x:c r="E21" s="1"/>
      <x:c r="F21" s="1"/>
      <x:c r="G21" s="1"/>
      <x:c r="H21" s="1"/>
      <x:c r="I21" s="1"/>
      <x:c r="J21" s="1"/>
      <x:c r="K21" s="1"/>
      <x:c r="L21" s="1"/>
      <x:c r="M21" s="1"/>
      <x:c r="N21" s="1"/>
      <x:c r="O21" s="1"/>
      <x:c r="P21" s="1"/>
      <x:c r="Q21" s="1"/>
    </x:row>
    <x:row r="22">
      <x:c r="A22" s="1"/>
      <x:c r="B22" s="1"/>
      <x:c r="C22" s="1"/>
      <x:c r="D22" s="1"/>
      <x:c r="E22" s="1"/>
      <x:c r="F22" s="1"/>
      <x:c r="G22" s="1"/>
      <x:c r="H22" s="1"/>
      <x:c r="I22" s="1"/>
      <x:c r="J22" s="1"/>
      <x:c r="K22" s="1"/>
      <x:c r="L22" s="1"/>
      <x:c r="M22" s="1"/>
      <x:c r="N22" s="1"/>
      <x:c r="O22" s="1"/>
      <x:c r="P22" s="1"/>
      <x:c r="Q22" s="1"/>
    </x:row>
    <x:row r="23">
      <x:c r="A23" s="1"/>
      <x:c r="B23" s="1"/>
      <x:c r="C23" s="1"/>
      <x:c r="D23" s="1"/>
      <x:c r="E23" s="1"/>
      <x:c r="F23" s="1"/>
      <x:c r="G23" s="1"/>
      <x:c r="H23" s="1"/>
      <x:c r="I23" s="1"/>
      <x:c r="J23" s="1"/>
      <x:c r="K23" s="1"/>
      <x:c r="L23" s="1"/>
      <x:c r="M23" s="1"/>
      <x:c r="N23" s="1"/>
      <x:c r="O23" s="1"/>
      <x:c r="P23" s="1"/>
      <x:c r="Q23" s="1"/>
    </x:row>
    <x:row r="24">
      <x:c r="A24" s="1"/>
      <x:c r="B24" s="1"/>
      <x:c r="C24" s="1"/>
      <x:c r="D24" s="1"/>
      <x:c r="E24" s="1"/>
      <x:c r="F24" s="1"/>
      <x:c r="G24" s="1"/>
      <x:c r="H24" s="1"/>
      <x:c r="I24" s="1"/>
      <x:c r="J24" s="1"/>
      <x:c r="K24" s="1"/>
      <x:c r="L24" s="1"/>
      <x:c r="M24" s="1"/>
      <x:c r="N24" s="1"/>
      <x:c r="O24" s="1"/>
      <x:c r="P24" s="1"/>
      <x:c r="Q24" s="1"/>
    </x:row>
    <x:row r="25">
      <x:c r="A25" s="1"/>
      <x:c r="B25" s="1"/>
      <x:c r="C25" s="1"/>
      <x:c r="D25" s="1"/>
      <x:c r="E25" s="1"/>
      <x:c r="F25" s="1"/>
      <x:c r="G25" s="1"/>
      <x:c r="H25" s="1"/>
      <x:c r="I25" s="1"/>
      <x:c r="J25" s="1"/>
      <x:c r="K25" s="1"/>
      <x:c r="L25" s="1"/>
      <x:c r="M25" s="1"/>
      <x:c r="N25" s="1"/>
      <x:c r="O25" s="1"/>
      <x:c r="P25" s="1"/>
      <x:c r="Q25" s="1"/>
    </x:row>
    <x:row r="26">
      <x:c r="A26" s="1"/>
      <x:c r="B26" s="1"/>
      <x:c r="C26" s="1"/>
      <x:c r="D26" s="1"/>
      <x:c r="E26" s="1"/>
      <x:c r="F26" s="1"/>
      <x:c r="G26" s="1"/>
      <x:c r="H26" s="1"/>
      <x:c r="I26" s="1"/>
      <x:c r="J26" s="1"/>
      <x:c r="K26" s="1"/>
      <x:c r="L26" s="1"/>
      <x:c r="M26" s="1"/>
      <x:c r="N26" s="1"/>
      <x:c r="O26" s="1"/>
      <x:c r="P26" s="1"/>
      <x:c r="Q26" s="1"/>
    </x:row>
    <x:row r="27">
      <x:c r="A27" s="1"/>
      <x:c r="B27" s="1"/>
      <x:c r="C27" s="1"/>
      <x:c r="D27" s="1"/>
      <x:c r="E27" s="1"/>
      <x:c r="F27" s="1"/>
      <x:c r="G27" s="1"/>
      <x:c r="H27" s="1"/>
      <x:c r="I27" s="1"/>
      <x:c r="J27" s="1"/>
      <x:c r="K27" s="1"/>
      <x:c r="L27" s="1"/>
      <x:c r="M27" s="1"/>
      <x:c r="N27" s="1"/>
      <x:c r="O27" s="1"/>
      <x:c r="P27" s="1"/>
      <x:c r="Q27" s="1"/>
    </x:row>
    <x:row r="28">
      <x:c r="A28" s="1"/>
      <x:c r="B28" s="1"/>
      <x:c r="C28" s="1"/>
      <x:c r="D28" s="1"/>
      <x:c r="E28" s="1"/>
      <x:c r="F28" s="1"/>
      <x:c r="G28" s="1"/>
      <x:c r="H28" s="1"/>
      <x:c r="I28" s="1"/>
      <x:c r="J28" s="1"/>
      <x:c r="K28" s="1"/>
      <x:c r="L28" s="1"/>
      <x:c r="M28" s="1"/>
      <x:c r="N28" s="1"/>
      <x:c r="O28" s="1"/>
      <x:c r="P28" s="1"/>
      <x:c r="Q28" s="1"/>
    </x:row>
    <x:row r="29">
      <x:c r="A29" s="1"/>
      <x:c r="B29" s="1"/>
      <x:c r="C29" s="1"/>
      <x:c r="D29" s="1"/>
      <x:c r="E29" s="1"/>
      <x:c r="F29" s="1"/>
      <x:c r="G29" s="1"/>
      <x:c r="H29" s="1"/>
      <x:c r="I29" s="1"/>
      <x:c r="J29" s="1"/>
      <x:c r="K29" s="1"/>
      <x:c r="L29" s="1"/>
      <x:c r="M29" s="1"/>
      <x:c r="N29" s="1"/>
      <x:c r="O29" s="1"/>
      <x:c r="P29" s="1"/>
      <x:c r="Q29" s="1"/>
    </x:row>
    <x:row r="30">
      <x:c r="A30" s="1"/>
      <x:c r="B30" s="1"/>
      <x:c r="C30" s="1"/>
      <x:c r="D30" s="1"/>
      <x:c r="E30" s="1"/>
      <x:c r="F30" s="1"/>
      <x:c r="G30" s="1"/>
      <x:c r="H30" s="1"/>
      <x:c r="I30" s="1"/>
      <x:c r="J30" s="1"/>
      <x:c r="K30" s="1"/>
      <x:c r="L30" s="1"/>
      <x:c r="M30" s="1"/>
      <x:c r="N30" s="1"/>
      <x:c r="O30" s="1"/>
      <x:c r="P30" s="1"/>
      <x:c r="Q30" s="1"/>
    </x:row>
    <x:row r="31">
      <x:c r="A31" s="1"/>
      <x:c r="B31" s="1"/>
      <x:c r="C31" s="1"/>
      <x:c r="D31" s="1"/>
      <x:c r="E31" s="1"/>
      <x:c r="F31" s="1"/>
      <x:c r="G31" s="1"/>
      <x:c r="H31" s="1"/>
      <x:c r="I31" s="1"/>
      <x:c r="J31" s="1"/>
      <x:c r="K31" s="1"/>
      <x:c r="L31" s="1"/>
      <x:c r="M31" s="1"/>
      <x:c r="N31" s="1"/>
      <x:c r="O31" s="1"/>
      <x:c r="P31" s="1"/>
      <x:c r="Q31" s="1"/>
    </x:row>
    <x:row r="32">
      <x:c r="A32" s="1"/>
      <x:c r="B32" s="1"/>
      <x:c r="C32" s="1"/>
      <x:c r="D32" s="1"/>
      <x:c r="E32" s="1"/>
      <x:c r="F32" s="1"/>
      <x:c r="G32" s="1"/>
      <x:c r="H32" s="1"/>
      <x:c r="I32" s="1"/>
      <x:c r="J32" s="1"/>
      <x:c r="K32" s="1"/>
      <x:c r="L32" s="1"/>
      <x:c r="M32" s="1"/>
      <x:c r="N32" s="1"/>
      <x:c r="O32" s="1"/>
      <x:c r="P32" s="1"/>
      <x:c r="Q32" s="1"/>
    </x:row>
    <x:row r="33">
      <x:c r="A33" s="1"/>
      <x:c r="B33" s="1"/>
      <x:c r="C33" s="1"/>
      <x:c r="D33" s="1"/>
      <x:c r="E33" s="1"/>
      <x:c r="F33" s="1"/>
      <x:c r="G33" s="1"/>
      <x:c r="H33" s="1"/>
      <x:c r="I33" s="1"/>
      <x:c r="J33" s="1"/>
      <x:c r="K33" s="1"/>
      <x:c r="L33" s="1"/>
      <x:c r="M33" s="1"/>
      <x:c r="N33" s="1"/>
      <x:c r="O33" s="1"/>
      <x:c r="P33" s="1"/>
      <x:c r="Q33" s="1"/>
    </x:row>
    <x:row r="34">
      <x:c r="A34" s="1"/>
      <x:c r="B34" s="1"/>
      <x:c r="C34" s="1"/>
      <x:c r="D34" s="1"/>
      <x:c r="E34" s="1"/>
      <x:c r="F34" s="1"/>
      <x:c r="G34" s="1"/>
      <x:c r="H34" s="1"/>
      <x:c r="I34" s="1"/>
      <x:c r="J34" s="1"/>
      <x:c r="K34" s="1"/>
      <x:c r="L34" s="1"/>
      <x:c r="M34" s="1"/>
      <x:c r="N34" s="1"/>
      <x:c r="O34" s="1"/>
      <x:c r="P34" s="1"/>
      <x:c r="Q34" s="1"/>
    </x:row>
    <x:row r="35">
      <x:c r="A35" s="1"/>
      <x:c r="B35" s="1"/>
      <x:c r="C35" s="1"/>
      <x:c r="D35" s="1"/>
      <x:c r="E35" s="1"/>
      <x:c r="F35" s="1"/>
      <x:c r="G35" s="1"/>
      <x:c r="H35" s="1"/>
      <x:c r="I35" s="1"/>
      <x:c r="J35" s="1"/>
      <x:c r="K35" s="1"/>
      <x:c r="L35" s="1"/>
      <x:c r="M35" s="1"/>
      <x:c r="N35" s="1"/>
      <x:c r="O35" s="1"/>
      <x:c r="P35" s="1"/>
      <x:c r="Q35" s="1"/>
    </x:row>
    <x:row r="36">
      <x:c r="A36" s="1"/>
      <x:c r="B36" s="1"/>
      <x:c r="C36" s="1"/>
      <x:c r="D36" s="1"/>
      <x:c r="E36" s="1"/>
      <x:c r="F36" s="1"/>
      <x:c r="G36" s="1"/>
      <x:c r="H36" s="1"/>
      <x:c r="I36" s="1"/>
      <x:c r="J36" s="1"/>
      <x:c r="K36" s="1"/>
      <x:c r="L36" s="1"/>
      <x:c r="M36" s="1"/>
      <x:c r="N36" s="1"/>
      <x:c r="O36" s="1"/>
      <x:c r="P36" s="1"/>
      <x:c r="Q36" s="1"/>
    </x:row>
    <x:row r="37">
      <x:c r="A37" s="1"/>
      <x:c r="B37" s="1"/>
      <x:c r="C37" s="1"/>
      <x:c r="D37" s="1"/>
      <x:c r="E37" s="1"/>
      <x:c r="F37" s="1"/>
      <x:c r="G37" s="1"/>
      <x:c r="H37" s="1"/>
      <x:c r="I37" s="1"/>
      <x:c r="J37" s="1"/>
      <x:c r="K37" s="1"/>
      <x:c r="L37" s="1"/>
      <x:c r="M37" s="1"/>
      <x:c r="N37" s="1"/>
      <x:c r="O37" s="1"/>
      <x:c r="P37" s="1"/>
      <x:c r="Q37" s="1"/>
    </x:row>
    <x:row r="38">
      <x:c r="A38" s="1"/>
      <x:c r="B38" s="1"/>
      <x:c r="C38" s="1"/>
      <x:c r="D38" s="1"/>
      <x:c r="E38" s="1"/>
      <x:c r="F38" s="1"/>
      <x:c r="G38" s="1"/>
      <x:c r="H38" s="1"/>
      <x:c r="I38" s="1"/>
      <x:c r="J38" s="1"/>
      <x:c r="K38" s="1"/>
      <x:c r="L38" s="1"/>
      <x:c r="M38" s="1"/>
      <x:c r="N38" s="1"/>
      <x:c r="O38" s="1"/>
      <x:c r="P38" s="1"/>
      <x:c r="Q38" s="1"/>
    </x:row>
    <x:row r="39">
      <x:c r="A39" s="1"/>
      <x:c r="B39" s="1"/>
      <x:c r="C39" s="1"/>
      <x:c r="D39" s="1"/>
      <x:c r="E39" s="1"/>
      <x:c r="F39" s="1"/>
      <x:c r="G39" s="1"/>
      <x:c r="H39" s="1"/>
      <x:c r="I39" s="1"/>
      <x:c r="J39" s="1"/>
      <x:c r="K39" s="1"/>
      <x:c r="L39" s="1"/>
      <x:c r="M39" s="1"/>
      <x:c r="N39" s="1"/>
      <x:c r="O39" s="1"/>
      <x:c r="P39" s="1"/>
      <x:c r="Q39" s="1"/>
    </x:row>
    <x:row r="40">
      <x:c r="A40" s="1"/>
      <x:c r="B40" s="1"/>
      <x:c r="C40" s="1"/>
      <x:c r="D40" s="1"/>
      <x:c r="E40" s="1"/>
      <x:c r="F40" s="1"/>
      <x:c r="G40" s="1"/>
      <x:c r="H40" s="1"/>
      <x:c r="I40" s="1"/>
      <x:c r="J40" s="1"/>
      <x:c r="K40" s="1"/>
      <x:c r="L40" s="1"/>
      <x:c r="M40" s="1"/>
      <x:c r="N40" s="1"/>
      <x:c r="O40" s="1"/>
      <x:c r="P40" s="1"/>
      <x:c r="Q40" s="1"/>
    </x:row>
    <x:row r="41">
      <x:c r="A41" s="1"/>
      <x:c r="B41" s="1"/>
      <x:c r="C41" s="1"/>
      <x:c r="D41" s="1"/>
      <x:c r="E41" s="1"/>
      <x:c r="F41" s="1"/>
      <x:c r="G41" s="1"/>
      <x:c r="H41" s="1"/>
      <x:c r="I41" s="1"/>
      <x:c r="J41" s="1"/>
      <x:c r="K41" s="1"/>
      <x:c r="L41" s="1"/>
      <x:c r="M41" s="1"/>
      <x:c r="N41" s="1"/>
      <x:c r="O41" s="1"/>
      <x:c r="P41" s="1"/>
      <x:c r="Q41" s="1"/>
    </x:row>
    <x:row r="42">
      <x:c r="A42" s="1"/>
      <x:c r="B42" s="1"/>
      <x:c r="C42" s="1"/>
      <x:c r="D42" s="1"/>
      <x:c r="E42" s="1"/>
      <x:c r="F42" s="1"/>
      <x:c r="G42" s="1"/>
      <x:c r="H42" s="1"/>
      <x:c r="I42" s="1"/>
      <x:c r="J42" s="1"/>
      <x:c r="K42" s="1"/>
      <x:c r="L42" s="1"/>
      <x:c r="M42" s="1"/>
      <x:c r="N42" s="1"/>
      <x:c r="O42" s="1"/>
      <x:c r="P42" s="1"/>
      <x:c r="Q42" s="1"/>
    </x:row>
    <x:row r="43">
      <x:c r="A43" s="1"/>
      <x:c r="B43" s="1"/>
      <x:c r="C43" s="1"/>
      <x:c r="D43" s="1"/>
      <x:c r="E43" s="1"/>
      <x:c r="F43" s="1"/>
      <x:c r="G43" s="1"/>
      <x:c r="H43" s="1"/>
      <x:c r="I43" s="1"/>
      <x:c r="J43" s="1"/>
      <x:c r="K43" s="1"/>
      <x:c r="L43" s="1"/>
      <x:c r="M43" s="1"/>
      <x:c r="N43" s="1"/>
      <x:c r="O43" s="1"/>
      <x:c r="P43" s="1"/>
      <x:c r="Q43" s="1"/>
    </x:row>
    <x:row r="44">
      <x:c r="A44" s="1"/>
      <x:c r="B44" s="1"/>
      <x:c r="C44" s="1"/>
      <x:c r="D44" s="1"/>
      <x:c r="E44" s="1"/>
      <x:c r="F44" s="1"/>
      <x:c r="G44" s="1"/>
      <x:c r="H44" s="1"/>
      <x:c r="I44" s="1"/>
      <x:c r="J44" s="1"/>
      <x:c r="K44" s="1"/>
      <x:c r="L44" s="1"/>
      <x:c r="M44" s="1"/>
      <x:c r="N44" s="1"/>
      <x:c r="O44" s="1"/>
      <x:c r="P44" s="1"/>
      <x:c r="Q44" s="1"/>
    </x:row>
    <x:row r="45">
      <x:c r="A45" s="1"/>
      <x:c r="B45" s="1"/>
      <x:c r="C45" s="1"/>
      <x:c r="D45" s="1"/>
      <x:c r="E45" s="1"/>
      <x:c r="F45" s="1"/>
      <x:c r="G45" s="1"/>
      <x:c r="H45" s="1"/>
      <x:c r="I45" s="1"/>
      <x:c r="J45" s="1"/>
      <x:c r="K45" s="1"/>
      <x:c r="L45" s="1"/>
      <x:c r="M45" s="1"/>
      <x:c r="N45" s="1"/>
      <x:c r="O45" s="1"/>
      <x:c r="P45" s="1"/>
      <x:c r="Q45" s="1"/>
    </x:row>
    <x:row r="46">
      <x:c r="A46" s="1"/>
      <x:c r="B46" s="1"/>
      <x:c r="C46" s="1"/>
      <x:c r="D46" s="1"/>
      <x:c r="E46" s="1"/>
      <x:c r="F46" s="1"/>
      <x:c r="G46" s="1"/>
      <x:c r="H46" s="1"/>
      <x:c r="I46" s="1"/>
      <x:c r="J46" s="1"/>
      <x:c r="K46" s="1"/>
      <x:c r="L46" s="1"/>
      <x:c r="M46" s="1"/>
      <x:c r="N46" s="1"/>
      <x:c r="O46" s="1"/>
      <x:c r="P46" s="1"/>
      <x:c r="Q46" s="1"/>
    </x:row>
    <x:row r="47">
      <x:c r="A47" s="1"/>
      <x:c r="B47" s="1"/>
      <x:c r="C47" s="1"/>
      <x:c r="D47" s="1"/>
      <x:c r="E47" s="1"/>
      <x:c r="F47" s="1"/>
      <x:c r="G47" s="1"/>
      <x:c r="H47" s="1"/>
      <x:c r="I47" s="1"/>
      <x:c r="J47" s="1"/>
      <x:c r="K47" s="1"/>
      <x:c r="L47" s="1"/>
      <x:c r="M47" s="1"/>
      <x:c r="N47" s="1"/>
      <x:c r="O47" s="1"/>
      <x:c r="P47" s="1"/>
      <x:c r="Q47" s="1"/>
    </x:row>
    <x:row r="48">
      <x:c r="A48" s="1"/>
      <x:c r="B48" s="1"/>
      <x:c r="C48" s="1"/>
      <x:c r="D48" s="1"/>
      <x:c r="E48" s="1"/>
      <x:c r="F48" s="1"/>
      <x:c r="G48" s="1"/>
      <x:c r="H48" s="1"/>
      <x:c r="I48" s="1"/>
      <x:c r="J48" s="1"/>
      <x:c r="K48" s="1"/>
      <x:c r="L48" s="1"/>
      <x:c r="M48" s="1"/>
      <x:c r="N48" s="1"/>
      <x:c r="O48" s="1"/>
      <x:c r="P48" s="1"/>
      <x:c r="Q48" s="1"/>
    </x:row>
    <x:row r="49">
      <x:c r="A49" s="1"/>
      <x:c r="B49" s="1"/>
      <x:c r="C49" s="1"/>
      <x:c r="D49" s="1"/>
      <x:c r="E49" s="1"/>
      <x:c r="F49" s="1"/>
      <x:c r="G49" s="1"/>
      <x:c r="H49" s="1"/>
      <x:c r="I49" s="1"/>
      <x:c r="J49" s="1"/>
      <x:c r="K49" s="1"/>
      <x:c r="L49" s="1"/>
      <x:c r="M49" s="1"/>
      <x:c r="N49" s="1"/>
      <x:c r="O49" s="1"/>
      <x:c r="P49" s="1"/>
      <x:c r="Q49" s="1"/>
    </x:row>
    <x:row r="50">
      <x:c r="A50" s="1"/>
      <x:c r="B50" s="1"/>
      <x:c r="C50" s="1"/>
      <x:c r="D50" s="1"/>
      <x:c r="E50" s="1"/>
      <x:c r="F50" s="1"/>
      <x:c r="G50" s="1"/>
      <x:c r="H50" s="1"/>
      <x:c r="I50" s="1"/>
      <x:c r="J50" s="1"/>
      <x:c r="K50" s="1"/>
      <x:c r="L50" s="1"/>
      <x:c r="M50" s="1"/>
      <x:c r="N50" s="1"/>
      <x:c r="O50" s="1"/>
      <x:c r="P50" s="1"/>
      <x:c r="Q50" s="1"/>
    </x:row>
    <x:row r="51">
      <x:c r="A51" s="1"/>
      <x:c r="B51" s="1"/>
      <x:c r="C51" s="1"/>
      <x:c r="D51" s="1"/>
      <x:c r="E51" s="1"/>
      <x:c r="F51" s="1"/>
      <x:c r="G51" s="1"/>
      <x:c r="H51" s="1"/>
      <x:c r="I51" s="1"/>
      <x:c r="J51" s="1"/>
      <x:c r="K51" s="1"/>
      <x:c r="L51" s="1"/>
      <x:c r="M51" s="1"/>
      <x:c r="N51" s="1"/>
      <x:c r="O51" s="1"/>
      <x:c r="P51" s="1"/>
      <x:c r="Q51" s="1"/>
    </x:row>
    <x:row r="52">
      <x:c r="A52" s="1"/>
      <x:c r="B52" s="1"/>
      <x:c r="C52" s="1"/>
      <x:c r="D52" s="1"/>
      <x:c r="E52" s="1"/>
      <x:c r="F52" s="1"/>
      <x:c r="G52" s="1"/>
      <x:c r="H52" s="1"/>
      <x:c r="I52" s="1"/>
      <x:c r="J52" s="1"/>
      <x:c r="K52" s="1"/>
      <x:c r="L52" s="1"/>
      <x:c r="M52" s="1"/>
      <x:c r="N52" s="1"/>
      <x:c r="O52" s="1"/>
      <x:c r="P52" s="1"/>
      <x:c r="Q52" s="1"/>
    </x:row>
    <x:row r="53">
      <x:c r="A53" s="1"/>
      <x:c r="B53" s="1"/>
      <x:c r="C53" s="1"/>
      <x:c r="D53" s="1"/>
      <x:c r="E53" s="1"/>
      <x:c r="F53" s="1"/>
      <x:c r="G53" s="1"/>
      <x:c r="H53" s="1"/>
      <x:c r="I53" s="1"/>
      <x:c r="J53" s="1"/>
      <x:c r="K53" s="1"/>
      <x:c r="L53" s="1"/>
      <x:c r="M53" s="1"/>
      <x:c r="N53" s="1"/>
      <x:c r="O53" s="1"/>
      <x:c r="P53" s="1"/>
      <x:c r="Q53" s="1"/>
    </x:row>
    <x:row r="54">
      <x:c r="A54" s="1"/>
      <x:c r="B54" s="1"/>
      <x:c r="C54" s="1"/>
      <x:c r="D54" s="1"/>
      <x:c r="E54" s="1"/>
      <x:c r="F54" s="1"/>
      <x:c r="G54" s="1"/>
      <x:c r="H54" s="1"/>
      <x:c r="I54" s="1"/>
      <x:c r="J54" s="1"/>
      <x:c r="K54" s="1"/>
      <x:c r="L54" s="1"/>
      <x:c r="M54" s="1"/>
      <x:c r="N54" s="1"/>
      <x:c r="O54" s="1"/>
      <x:c r="P54" s="1"/>
      <x:c r="Q54" s="1"/>
    </x:row>
    <x:row r="55">
      <x:c r="A55" s="1"/>
      <x:c r="B55" s="1"/>
      <x:c r="C55" s="1"/>
      <x:c r="D55" s="1"/>
      <x:c r="E55" s="1"/>
      <x:c r="F55" s="1"/>
      <x:c r="G55" s="1"/>
      <x:c r="H55" s="1"/>
      <x:c r="I55" s="1"/>
      <x:c r="J55" s="1"/>
      <x:c r="K55" s="1"/>
      <x:c r="L55" s="1"/>
      <x:c r="M55" s="1"/>
      <x:c r="N55" s="1"/>
      <x:c r="O55" s="1"/>
      <x:c r="P55" s="1"/>
      <x:c r="Q55" s="1"/>
    </x:row>
    <x:row r="56">
      <x:c r="A56" s="1"/>
      <x:c r="B56" s="1"/>
      <x:c r="C56" s="1"/>
      <x:c r="D56" s="1"/>
      <x:c r="E56" s="1"/>
      <x:c r="F56" s="1"/>
      <x:c r="G56" s="1"/>
      <x:c r="H56" s="1"/>
      <x:c r="I56" s="1"/>
      <x:c r="J56" s="1"/>
      <x:c r="K56" s="1"/>
      <x:c r="L56" s="1"/>
      <x:c r="M56" s="1"/>
      <x:c r="N56" s="1"/>
      <x:c r="O56" s="1"/>
      <x:c r="P56" s="1"/>
      <x:c r="Q56" s="1"/>
    </x:row>
    <x:row r="57">
      <x:c r="A57" s="1"/>
      <x:c r="B57" s="1"/>
      <x:c r="C57" s="1"/>
      <x:c r="D57" s="1"/>
      <x:c r="E57" s="1"/>
      <x:c r="F57" s="1"/>
      <x:c r="G57" s="1"/>
      <x:c r="H57" s="1"/>
      <x:c r="I57" s="1"/>
      <x:c r="J57" s="1"/>
      <x:c r="K57" s="1"/>
      <x:c r="L57" s="1"/>
      <x:c r="M57" s="1"/>
      <x:c r="N57" s="1"/>
      <x:c r="O57" s="1"/>
      <x:c r="P57" s="1"/>
      <x:c r="Q57" s="1"/>
    </x:row>
    <x:row r="58">
      <x:c r="A58" s="1"/>
      <x:c r="B58" s="1"/>
      <x:c r="C58" s="1"/>
      <x:c r="D58" s="1"/>
      <x:c r="E58" s="1"/>
      <x:c r="F58" s="1"/>
      <x:c r="G58" s="1"/>
      <x:c r="H58" s="1"/>
      <x:c r="I58" s="1"/>
      <x:c r="J58" s="1"/>
      <x:c r="K58" s="1"/>
      <x:c r="L58" s="1"/>
      <x:c r="M58" s="1"/>
      <x:c r="N58" s="1"/>
      <x:c r="O58" s="1"/>
      <x:c r="P58" s="1"/>
      <x:c r="Q58" s="1"/>
    </x:row>
    <x:row r="59">
      <x:c r="A59" s="1"/>
      <x:c r="B59" s="1"/>
      <x:c r="C59" s="1"/>
      <x:c r="D59" s="1"/>
      <x:c r="E59" s="1"/>
      <x:c r="F59" s="1"/>
      <x:c r="G59" s="1"/>
      <x:c r="H59" s="1"/>
      <x:c r="I59" s="1"/>
      <x:c r="J59" s="1"/>
      <x:c r="K59" s="1"/>
      <x:c r="L59" s="1"/>
      <x:c r="M59" s="1"/>
      <x:c r="N59" s="1"/>
      <x:c r="O59" s="1"/>
      <x:c r="P59" s="1"/>
      <x:c r="Q59" s="1"/>
    </x:row>
    <x:row r="60">
      <x:c r="A60" s="1"/>
      <x:c r="B60" s="1"/>
      <x:c r="C60" s="1"/>
      <x:c r="D60" s="1"/>
      <x:c r="E60" s="1"/>
      <x:c r="F60" s="1"/>
      <x:c r="G60" s="1"/>
      <x:c r="H60" s="1"/>
      <x:c r="I60" s="1"/>
      <x:c r="J60" s="1"/>
      <x:c r="K60" s="1"/>
      <x:c r="L60" s="1"/>
      <x:c r="M60" s="1"/>
      <x:c r="N60" s="1"/>
      <x:c r="O60" s="1"/>
      <x:c r="P60" s="1"/>
      <x:c r="Q60" s="1"/>
    </x:row>
  </x:sheetData>
  <x:mergeCells>
    <x:mergeCell ref="A1:N2"/>
    <x:mergeCell ref="A3:N3"/>
  </x:mergeCells>
  <x:conditionalFormatting sqref="A6:N10">
    <x:cfRule type="expression" dxfId="8" priority="1">
      <x:formula>MOD(ROW(),2)=0</x:formula>
    </x:cfRule>
  </x:conditionalFormatting>
  <x:conditionalFormatting sqref="M6:M10">
    <x:cfRule type="containsText" dxfId="9" priority="2" operator="containsText" text="None"/>
    <x:cfRule type="notContainsText" dxfId="10" priority="3" text="None"/>
  </x:conditionalFormatting>
  <x:pageMargins left="0.7" right="0.7" top="0.75" bottom="0.75" header="0.3" footer="0.3"/>
</x:worksheet>
</file>

<file path=xl/worksheets/sheet3.xml><?xml version="1.0" encoding="utf-8"?>
<x:worksheet xmlns:x="http://schemas.openxmlformats.org/spreadsheetml/2006/main">
  <x:sheetPr>
    <x:tabColor rgb="FF70AD47"/>
  </x:sheetPr>
  <x:sheetViews>
    <x:sheetView showGridLines="0" workbookViewId="0">
      <x:pane ySplit="6" topLeftCell="A7" activePane="bottomLeft" state="frozen"/>
    </x:sheetView>
  </x:sheetViews>
  <x:sheetFormatPr defaultRowHeight="15"/>
  <x:cols>
    <x:col min="1" max="1" width="26" hidden="0" customWidth="1"/>
    <x:col min="2" max="2" width="42" hidden="0" customWidth="1"/>
    <x:col min="3" max="3" width="39" hidden="0" customWidth="1"/>
    <x:col min="4" max="4" width="18" hidden="0" customWidth="1"/>
    <x:col min="5" max="5" width="14" hidden="0" customWidth="1"/>
    <x:col min="6" max="6" width="55" hidden="0" customWidth="1"/>
  </x:cols>
  <x:sheetData>
    <x:row r="1" ht="28" customHeight="1">
      <x:c r="A1" s="142" t="str">
        <x:v>Sources, method and interpretation limits</x:v>
      </x:c>
      <x:c r="B1" s="142"/>
      <x:c r="C1" s="142"/>
      <x:c r="D1" s="142"/>
      <x:c r="E1" s="142"/>
      <x:c r="F1" s="142"/>
      <x:c r="G1" s="1"/>
      <x:c r="H1" s="1"/>
      <x:c r="I1" s="1"/>
      <x:c r="J1" s="1"/>
      <x:c r="K1" s="1"/>
      <x:c r="L1" s="1"/>
      <x:c r="M1" s="1"/>
      <x:c r="N1" s="1"/>
      <x:c r="O1" s="1"/>
      <x:c r="P1" s="1"/>
      <x:c r="Q1" s="1"/>
    </x:row>
    <x:row r="2" ht="28" customHeight="1">
      <x:c r="A2" s="142"/>
      <x:c r="B2" s="142"/>
      <x:c r="C2" s="142"/>
      <x:c r="D2" s="142"/>
      <x:c r="E2" s="142"/>
      <x:c r="F2" s="142"/>
      <x:c r="G2" s="1"/>
      <x:c r="H2" s="1"/>
      <x:c r="I2" s="1"/>
      <x:c r="J2" s="1"/>
      <x:c r="K2" s="1"/>
      <x:c r="L2" s="1"/>
      <x:c r="M2" s="1"/>
      <x:c r="N2" s="1"/>
      <x:c r="O2" s="1"/>
      <x:c r="P2" s="1"/>
      <x:c r="Q2" s="1"/>
    </x:row>
    <x:row r="3" ht="26" customHeight="1">
      <x:c r="A3" s="148" t="str">
        <x:v>Important: “industry/ISRO-level” below means publicly documented mature PAT architecture—not proprietary ISRO flight data. Our red/green verdicts compare two software pipelines under identical simulated conditions only.</x:v>
      </x:c>
      <x:c r="B3" s="149"/>
      <x:c r="C3" s="149"/>
      <x:c r="D3" s="149"/>
      <x:c r="E3" s="149"/>
      <x:c r="F3" s="150"/>
      <x:c r="G3" s="1"/>
      <x:c r="H3" s="1"/>
      <x:c r="I3" s="1"/>
      <x:c r="J3" s="1"/>
      <x:c r="K3" s="1"/>
      <x:c r="L3" s="1"/>
      <x:c r="M3" s="1"/>
      <x:c r="N3" s="1"/>
      <x:c r="O3" s="1"/>
      <x:c r="P3" s="1"/>
      <x:c r="Q3" s="1"/>
    </x:row>
    <x:row r="4" ht="26" customHeight="1">
      <x:c r="A4" s="151"/>
      <x:c r="B4" s="152"/>
      <x:c r="C4" s="152"/>
      <x:c r="D4" s="152"/>
      <x:c r="E4" s="152"/>
      <x:c r="F4" s="153"/>
      <x:c r="G4" s="1"/>
      <x:c r="H4" s="1"/>
      <x:c r="I4" s="1"/>
      <x:c r="J4" s="1"/>
      <x:c r="K4" s="1"/>
      <x:c r="L4" s="1"/>
      <x:c r="M4" s="1"/>
      <x:c r="N4" s="1"/>
      <x:c r="O4" s="1"/>
      <x:c r="P4" s="1"/>
      <x:c r="Q4" s="1"/>
    </x:row>
    <x:row r="5">
      <x:c r="A5" s="1"/>
      <x:c r="B5" s="1"/>
      <x:c r="C5" s="1"/>
      <x:c r="D5" s="1"/>
      <x:c r="E5" s="1"/>
      <x:c r="F5" s="1"/>
      <x:c r="G5" s="1"/>
      <x:c r="H5" s="1"/>
      <x:c r="I5" s="1"/>
      <x:c r="J5" s="1"/>
      <x:c r="K5" s="1"/>
      <x:c r="L5" s="1"/>
      <x:c r="M5" s="1"/>
      <x:c r="N5" s="1"/>
      <x:c r="O5" s="1"/>
      <x:c r="P5" s="1"/>
      <x:c r="Q5" s="1"/>
    </x:row>
    <x:row r="6" ht="42" customHeight="1">
      <x:c r="A6" s="145" t="str">
        <x:v>Reference</x:v>
      </x:c>
      <x:c r="B6" s="145" t="str">
        <x:v>Publicly documented practice</x:v>
      </x:c>
      <x:c r="C6" s="145" t="str">
        <x:v>How it informs this workbook</x:v>
      </x:c>
      <x:c r="D6" s="145" t="str">
        <x:v>Publisher</x:v>
      </x:c>
      <x:c r="E6" s="145" t="str">
        <x:v>Date accessed</x:v>
      </x:c>
      <x:c r="F6" s="145" t="str">
        <x:v>URL</x:v>
      </x:c>
      <x:c r="G6" s="1"/>
      <x:c r="H6" s="1"/>
      <x:c r="I6" s="1"/>
      <x:c r="J6" s="1"/>
      <x:c r="K6" s="1"/>
      <x:c r="L6" s="1"/>
      <x:c r="M6" s="1"/>
      <x:c r="N6" s="1"/>
      <x:c r="O6" s="1"/>
      <x:c r="P6" s="1"/>
      <x:c r="Q6" s="1"/>
    </x:row>
    <x:row r="7" ht="72" customHeight="1">
      <x:c r="A7" s="118" t="str">
        <x:v>ISRO DTDI TDI086 PAT system</x:v>
      </x:c>
      <x:c r="B7" s="118" t="str">
        <x:v>2 µrad inter-satellite LoS objective; laser source; coarse and fine pointing; wide-FOV acquisition sensor; tracking sensor; opto-mechanical assembly.</x:v>
      </x:c>
      <x:c r="C7" s="118" t="str">
        <x:v>Defines the closest public ISRO architecture/accuracy reference used in the practice column.</x:v>
      </x:c>
      <x:c r="D7" s="118" t="str">
        <x:v>ISRO / LEOS</x:v>
      </x:c>
      <x:c r="E7" s="118" t="str">
        <x:v>2026-09-10</x:v>
      </x:c>
      <x:c r="F7" s="118" t="str">
        <x:v>https://www.isro.gov.in/media_isro/pdf/Tenders/2023/EOI_DTDI23323.pdf</x:v>
      </x:c>
      <x:c r="G7" s="1"/>
      <x:c r="H7" s="1"/>
      <x:c r="I7" s="1"/>
      <x:c r="J7" s="1"/>
      <x:c r="K7" s="1"/>
      <x:c r="L7" s="1"/>
      <x:c r="M7" s="1"/>
      <x:c r="N7" s="1"/>
      <x:c r="O7" s="1"/>
      <x:c r="P7" s="1"/>
      <x:c r="Q7" s="1"/>
    </x:row>
    <x:row r="8" ht="72" customHeight="1">
      <x:c r="A8" s="118" t="str">
        <x:v>ISRO Optical Ground Station EOI</x:v>
      </x:c>
      <x:c r="B8" s="118" t="str">
        <x:v>Variable-divergence optical beacon and mechanism capable of sustaining fine pointing while tracking LEO/GEO spacecraft.</x:v>
      </x:c>
      <x:c r="C8" s="118" t="str">
        <x:v>Supports beacon-assisted ground-satellite acquisition and fine tracking.</x:v>
      </x:c>
      <x:c r="D8" s="118" t="str">
        <x:v>SAC–ISRO</x:v>
      </x:c>
      <x:c r="E8" s="118" t="str">
        <x:v>2026-09-10</x:v>
      </x:c>
      <x:c r="F8" s="118" t="str">
        <x:v>https://www.isro.gov.in/media_isro/pdf/Tenders/2025/EOI_sac_110425.pdf</x:v>
      </x:c>
      <x:c r="G8" s="1"/>
      <x:c r="H8" s="1"/>
      <x:c r="I8" s="1"/>
      <x:c r="J8" s="1"/>
      <x:c r="K8" s="1"/>
      <x:c r="L8" s="1"/>
      <x:c r="M8" s="1"/>
      <x:c r="N8" s="1"/>
      <x:c r="O8" s="1"/>
      <x:c r="P8" s="1"/>
      <x:c r="Q8" s="1"/>
    </x:row>
    <x:row r="9" ht="72" customHeight="1">
      <x:c r="A9" s="118" t="str">
        <x:v>NASA deep-space ATP concept</x:v>
      </x:c>
      <x:c r="B9" s="118" t="str">
        <x:v>Combines optical and inertial sensors across frequency bands for high-bandwidth pointing knowledge.</x:v>
      </x:c>
      <x:c r="C9" s="118" t="str">
        <x:v>Supports inertial aiding and state propagation during jitter/dropout.</x:v>
      </x:c>
      <x:c r="D9" s="118" t="str">
        <x:v>NASA NTRS / JPL</x:v>
      </x:c>
      <x:c r="E9" s="118" t="str">
        <x:v>2026-09-10</x:v>
      </x:c>
      <x:c r="F9" s="118" t="str">
        <x:v>https://ntrs.nasa.gov/citations/20080048020</x:v>
      </x:c>
      <x:c r="G9" s="1"/>
      <x:c r="H9" s="1"/>
      <x:c r="I9" s="1"/>
      <x:c r="J9" s="1"/>
      <x:c r="K9" s="1"/>
      <x:c r="L9" s="1"/>
      <x:c r="M9" s="1"/>
      <x:c r="N9" s="1"/>
      <x:c r="O9" s="1"/>
      <x:c r="P9" s="1"/>
      <x:c r="Q9" s="1"/>
    </x:row>
    <x:row r="10" ht="72" customHeight="1">
      <x:c r="A10" s="118" t="str">
        <x:v>JPL Optical Communication Demonstrator</x:v>
      </x:c>
      <x:c r="B10" s="118" t="str">
        <x:v>Camera, digital controller and fast-steering mirror are analyzed as an end-to-end loop; delay affects achievable bandwidth.</x:v>
      </x:c>
      <x:c r="C10" s="118" t="str">
        <x:v>Supports latency-aware closed-loop comparison and FSM-style fine correction.</x:v>
      </x:c>
      <x:c r="D10" s="118" t="str">
        <x:v>NASA JPL</x:v>
      </x:c>
      <x:c r="E10" s="118" t="str">
        <x:v>2026-09-10</x:v>
      </x:c>
      <x:c r="F10" s="118" t="str">
        <x:v>https://tmo.jpl.nasa.gov/progress_report/42-136/136G.pdf</x:v>
      </x:c>
      <x:c r="G10" s="1"/>
      <x:c r="H10" s="1"/>
      <x:c r="I10" s="1"/>
      <x:c r="J10" s="1"/>
      <x:c r="K10" s="1"/>
      <x:c r="L10" s="1"/>
      <x:c r="M10" s="1"/>
      <x:c r="N10" s="1"/>
      <x:c r="O10" s="1"/>
      <x:c r="P10" s="1"/>
      <x:c r="Q10" s="1"/>
    </x:row>
    <x:row r="11" ht="72" customHeight="1">
      <x:c r="A11" s="118" t="str">
        <x:v>ESA UltraAir terminal</x:v>
      </x:c>
      <x:c r="B11" s="118" t="str">
        <x:v>Mechanically isolated optical head with inertial navigation, coarse pointing mirror, fine pointing mechanisms, tracking sensors and calibration.</x:v>
      </x:c>
      <x:c r="C11" s="118" t="str">
        <x:v>Supports the high-vibration and airborne mature-practice descriptions.</x:v>
      </x:c>
      <x:c r="D11" s="118" t="str">
        <x:v>ESA ScyLight</x:v>
      </x:c>
      <x:c r="E11" s="118" t="str">
        <x:v>2026-09-10</x:v>
      </x:c>
      <x:c r="F11" s="118" t="str">
        <x:v>https://resilience.esa.int/archives/projects/ultraair</x:v>
      </x:c>
      <x:c r="G11" s="1"/>
      <x:c r="H11" s="1"/>
      <x:c r="I11" s="1"/>
      <x:c r="J11" s="1"/>
      <x:c r="K11" s="1"/>
      <x:c r="L11" s="1"/>
      <x:c r="M11" s="1"/>
      <x:c r="N11" s="1"/>
      <x:c r="O11" s="1"/>
      <x:c r="P11" s="1"/>
      <x:c r="Q11" s="1"/>
    </x:row>
    <x:row r="12" ht="72" customHeight="1">
      <x:c r="A12" s="118" t="str">
        <x:v>CCSDS 141.0-B-2</x:v>
      </x:c>
      <x:c r="B12" s="118" t="str">
        <x:v>Recommended physical-layer standard for non-coherent optical communications in space data systems.</x:v>
      </x:c>
      <x:c r="C12" s="118" t="str">
        <x:v>Frames the optical-link context; it does not validate our PAT controller or simulated metrics.</x:v>
      </x:c>
      <x:c r="D12" s="118" t="str">
        <x:v>CCSDS</x:v>
      </x:c>
      <x:c r="E12" s="118" t="str">
        <x:v>2026-09-10</x:v>
      </x:c>
      <x:c r="F12" s="118" t="str">
        <x:v>https://ccsds.org/publications/allpubs/entry/4662/</x:v>
      </x:c>
      <x:c r="G12" s="1"/>
      <x:c r="H12" s="1"/>
      <x:c r="I12" s="1"/>
      <x:c r="J12" s="1"/>
      <x:c r="K12" s="1"/>
      <x:c r="L12" s="1"/>
      <x:c r="M12" s="1"/>
      <x:c r="N12" s="1"/>
      <x:c r="O12" s="1"/>
      <x:c r="P12" s="1"/>
      <x:c r="Q12" s="1"/>
    </x:row>
    <x:row r="13">
      <x:c r="A13" s="1"/>
      <x:c r="B13" s="1"/>
      <x:c r="C13" s="1"/>
      <x:c r="D13" s="1"/>
      <x:c r="E13" s="1"/>
      <x:c r="F13" s="1"/>
      <x:c r="G13" s="1"/>
      <x:c r="H13" s="1"/>
      <x:c r="I13" s="1"/>
      <x:c r="J13" s="1"/>
      <x:c r="K13" s="1"/>
      <x:c r="L13" s="1"/>
      <x:c r="M13" s="1"/>
      <x:c r="N13" s="1"/>
      <x:c r="O13" s="1"/>
      <x:c r="P13" s="1"/>
      <x:c r="Q13" s="1"/>
    </x:row>
    <x:row r="14">
      <x:c r="A14" s="155" t="str">
        <x:v>MONTE CARLO METHOD</x:v>
      </x:c>
      <x:c r="B14" s="155"/>
      <x:c r="C14" s="155"/>
      <x:c r="D14" s="155"/>
      <x:c r="E14" s="155"/>
      <x:c r="F14" s="155"/>
      <x:c r="G14" s="1"/>
      <x:c r="H14" s="1"/>
      <x:c r="I14" s="1"/>
      <x:c r="J14" s="1"/>
      <x:c r="K14" s="1"/>
      <x:c r="L14" s="1"/>
      <x:c r="M14" s="1"/>
      <x:c r="N14" s="1"/>
      <x:c r="O14" s="1"/>
      <x:c r="P14" s="1"/>
      <x:c r="Q14" s="1"/>
    </x:row>
    <x:row r="15" ht="48" customHeight="1">
      <x:c r="A15" s="157" t="str">
        <x:v>Design</x:v>
      </x:c>
      <x:c r="B15" s="118" t="str">
        <x:v>Five representative cases; 10 paired seeds per case; same seed and physical realization for baseline and candidate.</x:v>
      </x:c>
      <x:c r="C15" s="118"/>
      <x:c r="D15" s="118"/>
      <x:c r="E15" s="118"/>
      <x:c r="F15" s="118"/>
      <x:c r="G15" s="1"/>
      <x:c r="H15" s="1"/>
      <x:c r="I15" s="1"/>
      <x:c r="J15" s="1"/>
      <x:c r="K15" s="1"/>
      <x:c r="L15" s="1"/>
      <x:c r="M15" s="1"/>
      <x:c r="N15" s="1"/>
      <x:c r="O15" s="1"/>
      <x:c r="P15" s="1"/>
      <x:c r="Q15" s="1"/>
    </x:row>
    <x:row r="16" ht="48" customHeight="1">
      <x:c r="A16" s="157" t="str">
        <x:v>Baseline</x:v>
      </x:c>
      <x:c r="B16" s="118" t="str">
        <x:v>REFERENCE_BASELINE: centroid → no correction → Kalman → no predictor → PID → basic reacquisition.</x:v>
      </x:c>
      <x:c r="C16" s="118"/>
      <x:c r="D16" s="118"/>
      <x:c r="E16" s="118"/>
      <x:c r="F16" s="118"/>
      <x:c r="G16" s="1"/>
      <x:c r="H16" s="1"/>
      <x:c r="I16" s="1"/>
      <x:c r="J16" s="1"/>
      <x:c r="K16" s="1"/>
      <x:c r="L16" s="1"/>
      <x:c r="M16" s="1"/>
      <x:c r="N16" s="1"/>
      <x:c r="O16" s="1"/>
      <x:c r="P16" s="1"/>
      <x:c r="Q16" s="1"/>
    </x:row>
    <x:row r="17" ht="48" customHeight="1">
      <x:c r="A17" s="157" t="str">
        <x:v>Primary decision metric</x:v>
      </x:c>
      <x:c r="B17" s="118" t="str">
        <x:v>Mean closed-loop image-plane tracking RMSE (pixels); lower is better.</x:v>
      </x:c>
      <x:c r="C17" s="118"/>
      <x:c r="D17" s="118"/>
      <x:c r="E17" s="118"/>
      <x:c r="F17" s="118"/>
      <x:c r="G17" s="1"/>
      <x:c r="H17" s="1"/>
      <x:c r="I17" s="1"/>
      <x:c r="J17" s="1"/>
      <x:c r="K17" s="1"/>
      <x:c r="L17" s="1"/>
      <x:c r="M17" s="1"/>
      <x:c r="N17" s="1"/>
      <x:c r="O17" s="1"/>
      <x:c r="P17" s="1"/>
      <x:c r="Q17" s="1"/>
    </x:row>
    <x:row r="18" ht="48" customHeight="1">
      <x:c r="A18" s="157" t="str">
        <x:v>Reliability guard</x:v>
      </x:c>
      <x:c r="B18" s="118" t="str">
        <x:v>Candidate cannot be marked OUTPERFORMS if mean lock retention is lower than baseline.</x:v>
      </x:c>
      <x:c r="C18" s="118"/>
      <x:c r="D18" s="118"/>
      <x:c r="E18" s="118"/>
      <x:c r="F18" s="118"/>
      <x:c r="G18" s="1"/>
      <x:c r="H18" s="1"/>
      <x:c r="I18" s="1"/>
      <x:c r="J18" s="1"/>
      <x:c r="K18" s="1"/>
      <x:c r="L18" s="1"/>
      <x:c r="M18" s="1"/>
      <x:c r="N18" s="1"/>
      <x:c r="O18" s="1"/>
      <x:c r="P18" s="1"/>
      <x:c r="Q18" s="1"/>
    </x:row>
    <x:row r="19" ht="48" customHeight="1">
      <x:c r="A19" s="157" t="str">
        <x:v>Best replay seed</x:v>
      </x:c>
      <x:c r="B19" s="118" t="str">
        <x:v>Candidate run ranked by: no failure → higher lock retention → lower RMSE → lower P95 error. This seed is for demonstration/replay, not the aggregate claim.</x:v>
      </x:c>
      <x:c r="C19" s="118"/>
      <x:c r="D19" s="118"/>
      <x:c r="E19" s="118"/>
      <x:c r="F19" s="118"/>
      <x:c r="G19" s="1"/>
      <x:c r="H19" s="1"/>
      <x:c r="I19" s="1"/>
      <x:c r="J19" s="1"/>
      <x:c r="K19" s="1"/>
      <x:c r="L19" s="1"/>
      <x:c r="M19" s="1"/>
      <x:c r="N19" s="1"/>
      <x:c r="O19" s="1"/>
      <x:c r="P19" s="1"/>
      <x:c r="Q19" s="1"/>
    </x:row>
    <x:row r="20" ht="48" customHeight="1">
      <x:c r="A20" s="157" t="str">
        <x:v>Compute profile</x:v>
      </x:c>
      <x:c r="B20" s="118" t="str">
        <x:v>Current repository code; compact 160×120 camera, focal length 125 px, 10 FPS; durations 2.0–7.0 s depending on case.</x:v>
      </x:c>
      <x:c r="C20" s="118"/>
      <x:c r="D20" s="118"/>
      <x:c r="E20" s="118"/>
      <x:c r="F20" s="118"/>
      <x:c r="G20" s="1"/>
      <x:c r="H20" s="1"/>
      <x:c r="I20" s="1"/>
      <x:c r="J20" s="1"/>
      <x:c r="K20" s="1"/>
      <x:c r="L20" s="1"/>
      <x:c r="M20" s="1"/>
      <x:c r="N20" s="1"/>
      <x:c r="O20" s="1"/>
      <x:c r="P20" s="1"/>
      <x:c r="Q20" s="1"/>
    </x:row>
    <x:row r="21" ht="48" customHeight="1">
      <x:c r="A21" s="157" t="str">
        <x:v>Known limits</x:v>
      </x:c>
      <x:c r="B21" s="118" t="str">
        <x:v>Small example sample; synthetic sensor/atmosphere; no calibrated flight optics, hardware-in-loop, thermal/vacuum, structural modes, radiation or qualification evidence.</x:v>
      </x:c>
      <x:c r="C21" s="118"/>
      <x:c r="D21" s="118"/>
      <x:c r="E21" s="118"/>
      <x:c r="F21" s="118"/>
      <x:c r="G21" s="1"/>
      <x:c r="H21" s="1"/>
      <x:c r="I21" s="1"/>
      <x:c r="J21" s="1"/>
      <x:c r="K21" s="1"/>
      <x:c r="L21" s="1"/>
      <x:c r="M21" s="1"/>
      <x:c r="N21" s="1"/>
      <x:c r="O21" s="1"/>
      <x:c r="P21" s="1"/>
      <x:c r="Q21" s="1"/>
    </x:row>
    <x:row r="22" ht="48" customHeight="1">
      <x:c r="A22" s="157" t="str">
        <x:v>Failure labels</x:v>
      </x:c>
      <x:c r="B22" s="118" t="str">
        <x:v>DROPOUT and BEACON_TOO_WEAK can be expected injected scenario outcomes. They are retained rather than hidden.</x:v>
      </x:c>
      <x:c r="C22" s="118"/>
      <x:c r="D22" s="118"/>
      <x:c r="E22" s="118"/>
      <x:c r="F22" s="118"/>
      <x:c r="G22" s="1"/>
      <x:c r="H22" s="1"/>
      <x:c r="I22" s="1"/>
      <x:c r="J22" s="1"/>
      <x:c r="K22" s="1"/>
      <x:c r="L22" s="1"/>
      <x:c r="M22" s="1"/>
      <x:c r="N22" s="1"/>
      <x:c r="O22" s="1"/>
      <x:c r="P22" s="1"/>
      <x:c r="Q22" s="1"/>
    </x:row>
    <x:row r="23">
      <x:c r="A23" s="1"/>
      <x:c r="B23" s="1"/>
      <x:c r="C23" s="1"/>
      <x:c r="D23" s="1"/>
      <x:c r="E23" s="1"/>
      <x:c r="F23" s="1"/>
      <x:c r="G23" s="1"/>
      <x:c r="H23" s="1"/>
      <x:c r="I23" s="1"/>
      <x:c r="J23" s="1"/>
      <x:c r="K23" s="1"/>
      <x:c r="L23" s="1"/>
      <x:c r="M23" s="1"/>
      <x:c r="N23" s="1"/>
      <x:c r="O23" s="1"/>
      <x:c r="P23" s="1"/>
      <x:c r="Q23" s="1"/>
    </x:row>
    <x:row r="24">
      <x:c r="A24" s="1"/>
      <x:c r="B24" s="1"/>
      <x:c r="C24" s="1"/>
      <x:c r="D24" s="1"/>
      <x:c r="E24" s="1"/>
      <x:c r="F24" s="1"/>
      <x:c r="G24" s="1"/>
      <x:c r="H24" s="1"/>
      <x:c r="I24" s="1"/>
      <x:c r="J24" s="1"/>
      <x:c r="K24" s="1"/>
      <x:c r="L24" s="1"/>
      <x:c r="M24" s="1"/>
      <x:c r="N24" s="1"/>
      <x:c r="O24" s="1"/>
      <x:c r="P24" s="1"/>
      <x:c r="Q24" s="1"/>
    </x:row>
    <x:row r="25">
      <x:c r="A25" s="1"/>
      <x:c r="B25" s="1"/>
      <x:c r="C25" s="1"/>
      <x:c r="D25" s="1"/>
      <x:c r="E25" s="1"/>
      <x:c r="F25" s="1"/>
      <x:c r="G25" s="1"/>
      <x:c r="H25" s="1"/>
      <x:c r="I25" s="1"/>
      <x:c r="J25" s="1"/>
      <x:c r="K25" s="1"/>
      <x:c r="L25" s="1"/>
      <x:c r="M25" s="1"/>
      <x:c r="N25" s="1"/>
      <x:c r="O25" s="1"/>
      <x:c r="P25" s="1"/>
      <x:c r="Q25" s="1"/>
    </x:row>
    <x:row r="26">
      <x:c r="A26" s="1"/>
      <x:c r="B26" s="1"/>
      <x:c r="C26" s="1"/>
      <x:c r="D26" s="1"/>
      <x:c r="E26" s="1"/>
      <x:c r="F26" s="1"/>
      <x:c r="G26" s="1"/>
      <x:c r="H26" s="1"/>
      <x:c r="I26" s="1"/>
      <x:c r="J26" s="1"/>
      <x:c r="K26" s="1"/>
      <x:c r="L26" s="1"/>
      <x:c r="M26" s="1"/>
      <x:c r="N26" s="1"/>
      <x:c r="O26" s="1"/>
      <x:c r="P26" s="1"/>
      <x:c r="Q26" s="1"/>
    </x:row>
    <x:row r="27">
      <x:c r="A27" s="1"/>
      <x:c r="B27" s="1"/>
      <x:c r="C27" s="1"/>
      <x:c r="D27" s="1"/>
      <x:c r="E27" s="1"/>
      <x:c r="F27" s="1"/>
      <x:c r="G27" s="1"/>
      <x:c r="H27" s="1"/>
      <x:c r="I27" s="1"/>
      <x:c r="J27" s="1"/>
      <x:c r="K27" s="1"/>
      <x:c r="L27" s="1"/>
      <x:c r="M27" s="1"/>
      <x:c r="N27" s="1"/>
      <x:c r="O27" s="1"/>
      <x:c r="P27" s="1"/>
      <x:c r="Q27" s="1"/>
    </x:row>
    <x:row r="28">
      <x:c r="A28" s="1"/>
      <x:c r="B28" s="1"/>
      <x:c r="C28" s="1"/>
      <x:c r="D28" s="1"/>
      <x:c r="E28" s="1"/>
      <x:c r="F28" s="1"/>
      <x:c r="G28" s="1"/>
      <x:c r="H28" s="1"/>
      <x:c r="I28" s="1"/>
      <x:c r="J28" s="1"/>
      <x:c r="K28" s="1"/>
      <x:c r="L28" s="1"/>
      <x:c r="M28" s="1"/>
      <x:c r="N28" s="1"/>
      <x:c r="O28" s="1"/>
      <x:c r="P28" s="1"/>
      <x:c r="Q28" s="1"/>
    </x:row>
    <x:row r="29">
      <x:c r="A29" s="1"/>
      <x:c r="B29" s="1"/>
      <x:c r="C29" s="1"/>
      <x:c r="D29" s="1"/>
      <x:c r="E29" s="1"/>
      <x:c r="F29" s="1"/>
      <x:c r="G29" s="1"/>
      <x:c r="H29" s="1"/>
      <x:c r="I29" s="1"/>
      <x:c r="J29" s="1"/>
      <x:c r="K29" s="1"/>
      <x:c r="L29" s="1"/>
      <x:c r="M29" s="1"/>
      <x:c r="N29" s="1"/>
      <x:c r="O29" s="1"/>
      <x:c r="P29" s="1"/>
      <x:c r="Q29" s="1"/>
    </x:row>
    <x:row r="30">
      <x:c r="A30" s="1"/>
      <x:c r="B30" s="1"/>
      <x:c r="C30" s="1"/>
      <x:c r="D30" s="1"/>
      <x:c r="E30" s="1"/>
      <x:c r="F30" s="1"/>
      <x:c r="G30" s="1"/>
      <x:c r="H30" s="1"/>
      <x:c r="I30" s="1"/>
      <x:c r="J30" s="1"/>
      <x:c r="K30" s="1"/>
      <x:c r="L30" s="1"/>
      <x:c r="M30" s="1"/>
      <x:c r="N30" s="1"/>
      <x:c r="O30" s="1"/>
      <x:c r="P30" s="1"/>
      <x:c r="Q30" s="1"/>
    </x:row>
    <x:row r="31">
      <x:c r="A31" s="1"/>
      <x:c r="B31" s="1"/>
      <x:c r="C31" s="1"/>
      <x:c r="D31" s="1"/>
      <x:c r="E31" s="1"/>
      <x:c r="F31" s="1"/>
      <x:c r="G31" s="1"/>
      <x:c r="H31" s="1"/>
      <x:c r="I31" s="1"/>
      <x:c r="J31" s="1"/>
      <x:c r="K31" s="1"/>
      <x:c r="L31" s="1"/>
      <x:c r="M31" s="1"/>
      <x:c r="N31" s="1"/>
      <x:c r="O31" s="1"/>
      <x:c r="P31" s="1"/>
      <x:c r="Q31" s="1"/>
    </x:row>
    <x:row r="32">
      <x:c r="A32" s="1"/>
      <x:c r="B32" s="1"/>
      <x:c r="C32" s="1"/>
      <x:c r="D32" s="1"/>
      <x:c r="E32" s="1"/>
      <x:c r="F32" s="1"/>
      <x:c r="G32" s="1"/>
      <x:c r="H32" s="1"/>
      <x:c r="I32" s="1"/>
      <x:c r="J32" s="1"/>
      <x:c r="K32" s="1"/>
      <x:c r="L32" s="1"/>
      <x:c r="M32" s="1"/>
      <x:c r="N32" s="1"/>
      <x:c r="O32" s="1"/>
      <x:c r="P32" s="1"/>
      <x:c r="Q32" s="1"/>
    </x:row>
    <x:row r="33">
      <x:c r="A33" s="1"/>
      <x:c r="B33" s="1"/>
      <x:c r="C33" s="1"/>
      <x:c r="D33" s="1"/>
      <x:c r="E33" s="1"/>
      <x:c r="F33" s="1"/>
      <x:c r="G33" s="1"/>
      <x:c r="H33" s="1"/>
      <x:c r="I33" s="1"/>
      <x:c r="J33" s="1"/>
      <x:c r="K33" s="1"/>
      <x:c r="L33" s="1"/>
      <x:c r="M33" s="1"/>
      <x:c r="N33" s="1"/>
      <x:c r="O33" s="1"/>
      <x:c r="P33" s="1"/>
      <x:c r="Q33" s="1"/>
    </x:row>
    <x:row r="34">
      <x:c r="A34" s="1"/>
      <x:c r="B34" s="1"/>
      <x:c r="C34" s="1"/>
      <x:c r="D34" s="1"/>
      <x:c r="E34" s="1"/>
      <x:c r="F34" s="1"/>
      <x:c r="G34" s="1"/>
      <x:c r="H34" s="1"/>
      <x:c r="I34" s="1"/>
      <x:c r="J34" s="1"/>
      <x:c r="K34" s="1"/>
      <x:c r="L34" s="1"/>
      <x:c r="M34" s="1"/>
      <x:c r="N34" s="1"/>
      <x:c r="O34" s="1"/>
      <x:c r="P34" s="1"/>
      <x:c r="Q34" s="1"/>
    </x:row>
    <x:row r="35">
      <x:c r="A35" s="1"/>
      <x:c r="B35" s="1"/>
      <x:c r="C35" s="1"/>
      <x:c r="D35" s="1"/>
      <x:c r="E35" s="1"/>
      <x:c r="F35" s="1"/>
      <x:c r="G35" s="1"/>
      <x:c r="H35" s="1"/>
      <x:c r="I35" s="1"/>
      <x:c r="J35" s="1"/>
      <x:c r="K35" s="1"/>
      <x:c r="L35" s="1"/>
      <x:c r="M35" s="1"/>
      <x:c r="N35" s="1"/>
      <x:c r="O35" s="1"/>
      <x:c r="P35" s="1"/>
      <x:c r="Q35" s="1"/>
    </x:row>
    <x:row r="36">
      <x:c r="A36" s="1"/>
      <x:c r="B36" s="1"/>
      <x:c r="C36" s="1"/>
      <x:c r="D36" s="1"/>
      <x:c r="E36" s="1"/>
      <x:c r="F36" s="1"/>
      <x:c r="G36" s="1"/>
      <x:c r="H36" s="1"/>
      <x:c r="I36" s="1"/>
      <x:c r="J36" s="1"/>
      <x:c r="K36" s="1"/>
      <x:c r="L36" s="1"/>
      <x:c r="M36" s="1"/>
      <x:c r="N36" s="1"/>
      <x:c r="O36" s="1"/>
      <x:c r="P36" s="1"/>
      <x:c r="Q36" s="1"/>
    </x:row>
    <x:row r="37">
      <x:c r="A37" s="1"/>
      <x:c r="B37" s="1"/>
      <x:c r="C37" s="1"/>
      <x:c r="D37" s="1"/>
      <x:c r="E37" s="1"/>
      <x:c r="F37" s="1"/>
      <x:c r="G37" s="1"/>
      <x:c r="H37" s="1"/>
      <x:c r="I37" s="1"/>
      <x:c r="J37" s="1"/>
      <x:c r="K37" s="1"/>
      <x:c r="L37" s="1"/>
      <x:c r="M37" s="1"/>
      <x:c r="N37" s="1"/>
      <x:c r="O37" s="1"/>
      <x:c r="P37" s="1"/>
      <x:c r="Q37" s="1"/>
    </x:row>
    <x:row r="38">
      <x:c r="A38" s="1"/>
      <x:c r="B38" s="1"/>
      <x:c r="C38" s="1"/>
      <x:c r="D38" s="1"/>
      <x:c r="E38" s="1"/>
      <x:c r="F38" s="1"/>
      <x:c r="G38" s="1"/>
      <x:c r="H38" s="1"/>
      <x:c r="I38" s="1"/>
      <x:c r="J38" s="1"/>
      <x:c r="K38" s="1"/>
      <x:c r="L38" s="1"/>
      <x:c r="M38" s="1"/>
      <x:c r="N38" s="1"/>
      <x:c r="O38" s="1"/>
      <x:c r="P38" s="1"/>
      <x:c r="Q38" s="1"/>
    </x:row>
    <x:row r="39">
      <x:c r="A39" s="1"/>
      <x:c r="B39" s="1"/>
      <x:c r="C39" s="1"/>
      <x:c r="D39" s="1"/>
      <x:c r="E39" s="1"/>
      <x:c r="F39" s="1"/>
      <x:c r="G39" s="1"/>
      <x:c r="H39" s="1"/>
      <x:c r="I39" s="1"/>
      <x:c r="J39" s="1"/>
      <x:c r="K39" s="1"/>
      <x:c r="L39" s="1"/>
      <x:c r="M39" s="1"/>
      <x:c r="N39" s="1"/>
      <x:c r="O39" s="1"/>
      <x:c r="P39" s="1"/>
      <x:c r="Q39" s="1"/>
    </x:row>
    <x:row r="40">
      <x:c r="A40" s="1"/>
      <x:c r="B40" s="1"/>
      <x:c r="C40" s="1"/>
      <x:c r="D40" s="1"/>
      <x:c r="E40" s="1"/>
      <x:c r="F40" s="1"/>
      <x:c r="G40" s="1"/>
      <x:c r="H40" s="1"/>
      <x:c r="I40" s="1"/>
      <x:c r="J40" s="1"/>
      <x:c r="K40" s="1"/>
      <x:c r="L40" s="1"/>
      <x:c r="M40" s="1"/>
      <x:c r="N40" s="1"/>
      <x:c r="O40" s="1"/>
      <x:c r="P40" s="1"/>
      <x:c r="Q40" s="1"/>
    </x:row>
    <x:row r="41">
      <x:c r="A41" s="1"/>
      <x:c r="B41" s="1"/>
      <x:c r="C41" s="1"/>
      <x:c r="D41" s="1"/>
      <x:c r="E41" s="1"/>
      <x:c r="F41" s="1"/>
      <x:c r="G41" s="1"/>
      <x:c r="H41" s="1"/>
      <x:c r="I41" s="1"/>
      <x:c r="J41" s="1"/>
      <x:c r="K41" s="1"/>
      <x:c r="L41" s="1"/>
      <x:c r="M41" s="1"/>
      <x:c r="N41" s="1"/>
      <x:c r="O41" s="1"/>
      <x:c r="P41" s="1"/>
      <x:c r="Q41" s="1"/>
    </x:row>
    <x:row r="42">
      <x:c r="A42" s="1"/>
      <x:c r="B42" s="1"/>
      <x:c r="C42" s="1"/>
      <x:c r="D42" s="1"/>
      <x:c r="E42" s="1"/>
      <x:c r="F42" s="1"/>
      <x:c r="G42" s="1"/>
      <x:c r="H42" s="1"/>
      <x:c r="I42" s="1"/>
      <x:c r="J42" s="1"/>
      <x:c r="K42" s="1"/>
      <x:c r="L42" s="1"/>
      <x:c r="M42" s="1"/>
      <x:c r="N42" s="1"/>
      <x:c r="O42" s="1"/>
      <x:c r="P42" s="1"/>
      <x:c r="Q42" s="1"/>
    </x:row>
    <x:row r="43">
      <x:c r="A43" s="1"/>
      <x:c r="B43" s="1"/>
      <x:c r="C43" s="1"/>
      <x:c r="D43" s="1"/>
      <x:c r="E43" s="1"/>
      <x:c r="F43" s="1"/>
      <x:c r="G43" s="1"/>
      <x:c r="H43" s="1"/>
      <x:c r="I43" s="1"/>
      <x:c r="J43" s="1"/>
      <x:c r="K43" s="1"/>
      <x:c r="L43" s="1"/>
      <x:c r="M43" s="1"/>
      <x:c r="N43" s="1"/>
      <x:c r="O43" s="1"/>
      <x:c r="P43" s="1"/>
      <x:c r="Q43" s="1"/>
    </x:row>
    <x:row r="44">
      <x:c r="A44" s="1"/>
      <x:c r="B44" s="1"/>
      <x:c r="C44" s="1"/>
      <x:c r="D44" s="1"/>
      <x:c r="E44" s="1"/>
      <x:c r="F44" s="1"/>
      <x:c r="G44" s="1"/>
      <x:c r="H44" s="1"/>
      <x:c r="I44" s="1"/>
      <x:c r="J44" s="1"/>
      <x:c r="K44" s="1"/>
      <x:c r="L44" s="1"/>
      <x:c r="M44" s="1"/>
      <x:c r="N44" s="1"/>
      <x:c r="O44" s="1"/>
      <x:c r="P44" s="1"/>
      <x:c r="Q44" s="1"/>
    </x:row>
    <x:row r="45">
      <x:c r="A45" s="1"/>
      <x:c r="B45" s="1"/>
      <x:c r="C45" s="1"/>
      <x:c r="D45" s="1"/>
      <x:c r="E45" s="1"/>
      <x:c r="F45" s="1"/>
      <x:c r="G45" s="1"/>
      <x:c r="H45" s="1"/>
      <x:c r="I45" s="1"/>
      <x:c r="J45" s="1"/>
      <x:c r="K45" s="1"/>
      <x:c r="L45" s="1"/>
      <x:c r="M45" s="1"/>
      <x:c r="N45" s="1"/>
      <x:c r="O45" s="1"/>
      <x:c r="P45" s="1"/>
      <x:c r="Q45" s="1"/>
    </x:row>
    <x:row r="46">
      <x:c r="A46" s="1"/>
      <x:c r="B46" s="1"/>
      <x:c r="C46" s="1"/>
      <x:c r="D46" s="1"/>
      <x:c r="E46" s="1"/>
      <x:c r="F46" s="1"/>
      <x:c r="G46" s="1"/>
      <x:c r="H46" s="1"/>
      <x:c r="I46" s="1"/>
      <x:c r="J46" s="1"/>
      <x:c r="K46" s="1"/>
      <x:c r="L46" s="1"/>
      <x:c r="M46" s="1"/>
      <x:c r="N46" s="1"/>
      <x:c r="O46" s="1"/>
      <x:c r="P46" s="1"/>
      <x:c r="Q46" s="1"/>
    </x:row>
    <x:row r="47">
      <x:c r="A47" s="1"/>
      <x:c r="B47" s="1"/>
      <x:c r="C47" s="1"/>
      <x:c r="D47" s="1"/>
      <x:c r="E47" s="1"/>
      <x:c r="F47" s="1"/>
      <x:c r="G47" s="1"/>
      <x:c r="H47" s="1"/>
      <x:c r="I47" s="1"/>
      <x:c r="J47" s="1"/>
      <x:c r="K47" s="1"/>
      <x:c r="L47" s="1"/>
      <x:c r="M47" s="1"/>
      <x:c r="N47" s="1"/>
      <x:c r="O47" s="1"/>
      <x:c r="P47" s="1"/>
      <x:c r="Q47" s="1"/>
    </x:row>
    <x:row r="48">
      <x:c r="A48" s="1"/>
      <x:c r="B48" s="1"/>
      <x:c r="C48" s="1"/>
      <x:c r="D48" s="1"/>
      <x:c r="E48" s="1"/>
      <x:c r="F48" s="1"/>
      <x:c r="G48" s="1"/>
      <x:c r="H48" s="1"/>
      <x:c r="I48" s="1"/>
      <x:c r="J48" s="1"/>
      <x:c r="K48" s="1"/>
      <x:c r="L48" s="1"/>
      <x:c r="M48" s="1"/>
      <x:c r="N48" s="1"/>
      <x:c r="O48" s="1"/>
      <x:c r="P48" s="1"/>
      <x:c r="Q48" s="1"/>
    </x:row>
    <x:row r="49">
      <x:c r="A49" s="1"/>
      <x:c r="B49" s="1"/>
      <x:c r="C49" s="1"/>
      <x:c r="D49" s="1"/>
      <x:c r="E49" s="1"/>
      <x:c r="F49" s="1"/>
      <x:c r="G49" s="1"/>
      <x:c r="H49" s="1"/>
      <x:c r="I49" s="1"/>
      <x:c r="J49" s="1"/>
      <x:c r="K49" s="1"/>
      <x:c r="L49" s="1"/>
      <x:c r="M49" s="1"/>
      <x:c r="N49" s="1"/>
      <x:c r="O49" s="1"/>
      <x:c r="P49" s="1"/>
      <x:c r="Q49" s="1"/>
    </x:row>
    <x:row r="50">
      <x:c r="A50" s="1"/>
      <x:c r="B50" s="1"/>
      <x:c r="C50" s="1"/>
      <x:c r="D50" s="1"/>
      <x:c r="E50" s="1"/>
      <x:c r="F50" s="1"/>
      <x:c r="G50" s="1"/>
      <x:c r="H50" s="1"/>
      <x:c r="I50" s="1"/>
      <x:c r="J50" s="1"/>
      <x:c r="K50" s="1"/>
      <x:c r="L50" s="1"/>
      <x:c r="M50" s="1"/>
      <x:c r="N50" s="1"/>
      <x:c r="O50" s="1"/>
      <x:c r="P50" s="1"/>
      <x:c r="Q50" s="1"/>
    </x:row>
    <x:row r="51">
      <x:c r="A51" s="1"/>
      <x:c r="B51" s="1"/>
      <x:c r="C51" s="1"/>
      <x:c r="D51" s="1"/>
      <x:c r="E51" s="1"/>
      <x:c r="F51" s="1"/>
      <x:c r="G51" s="1"/>
      <x:c r="H51" s="1"/>
      <x:c r="I51" s="1"/>
      <x:c r="J51" s="1"/>
      <x:c r="K51" s="1"/>
      <x:c r="L51" s="1"/>
      <x:c r="M51" s="1"/>
      <x:c r="N51" s="1"/>
      <x:c r="O51" s="1"/>
      <x:c r="P51" s="1"/>
      <x:c r="Q51" s="1"/>
    </x:row>
    <x:row r="52">
      <x:c r="A52" s="1"/>
      <x:c r="B52" s="1"/>
      <x:c r="C52" s="1"/>
      <x:c r="D52" s="1"/>
      <x:c r="E52" s="1"/>
      <x:c r="F52" s="1"/>
      <x:c r="G52" s="1"/>
      <x:c r="H52" s="1"/>
      <x:c r="I52" s="1"/>
      <x:c r="J52" s="1"/>
      <x:c r="K52" s="1"/>
      <x:c r="L52" s="1"/>
      <x:c r="M52" s="1"/>
      <x:c r="N52" s="1"/>
      <x:c r="O52" s="1"/>
      <x:c r="P52" s="1"/>
      <x:c r="Q52" s="1"/>
    </x:row>
    <x:row r="53">
      <x:c r="A53" s="1"/>
      <x:c r="B53" s="1"/>
      <x:c r="C53" s="1"/>
      <x:c r="D53" s="1"/>
      <x:c r="E53" s="1"/>
      <x:c r="F53" s="1"/>
      <x:c r="G53" s="1"/>
      <x:c r="H53" s="1"/>
      <x:c r="I53" s="1"/>
      <x:c r="J53" s="1"/>
      <x:c r="K53" s="1"/>
      <x:c r="L53" s="1"/>
      <x:c r="M53" s="1"/>
      <x:c r="N53" s="1"/>
      <x:c r="O53" s="1"/>
      <x:c r="P53" s="1"/>
      <x:c r="Q53" s="1"/>
    </x:row>
    <x:row r="54">
      <x:c r="A54" s="1"/>
      <x:c r="B54" s="1"/>
      <x:c r="C54" s="1"/>
      <x:c r="D54" s="1"/>
      <x:c r="E54" s="1"/>
      <x:c r="F54" s="1"/>
      <x:c r="G54" s="1"/>
      <x:c r="H54" s="1"/>
      <x:c r="I54" s="1"/>
      <x:c r="J54" s="1"/>
      <x:c r="K54" s="1"/>
      <x:c r="L54" s="1"/>
      <x:c r="M54" s="1"/>
      <x:c r="N54" s="1"/>
      <x:c r="O54" s="1"/>
      <x:c r="P54" s="1"/>
      <x:c r="Q54" s="1"/>
    </x:row>
    <x:row r="55">
      <x:c r="A55" s="1"/>
      <x:c r="B55" s="1"/>
      <x:c r="C55" s="1"/>
      <x:c r="D55" s="1"/>
      <x:c r="E55" s="1"/>
      <x:c r="F55" s="1"/>
      <x:c r="G55" s="1"/>
      <x:c r="H55" s="1"/>
      <x:c r="I55" s="1"/>
      <x:c r="J55" s="1"/>
      <x:c r="K55" s="1"/>
      <x:c r="L55" s="1"/>
      <x:c r="M55" s="1"/>
      <x:c r="N55" s="1"/>
      <x:c r="O55" s="1"/>
      <x:c r="P55" s="1"/>
      <x:c r="Q55" s="1"/>
    </x:row>
    <x:row r="56">
      <x:c r="A56" s="1"/>
      <x:c r="B56" s="1"/>
      <x:c r="C56" s="1"/>
      <x:c r="D56" s="1"/>
      <x:c r="E56" s="1"/>
      <x:c r="F56" s="1"/>
      <x:c r="G56" s="1"/>
      <x:c r="H56" s="1"/>
      <x:c r="I56" s="1"/>
      <x:c r="J56" s="1"/>
      <x:c r="K56" s="1"/>
      <x:c r="L56" s="1"/>
      <x:c r="M56" s="1"/>
      <x:c r="N56" s="1"/>
      <x:c r="O56" s="1"/>
      <x:c r="P56" s="1"/>
      <x:c r="Q56" s="1"/>
    </x:row>
    <x:row r="57">
      <x:c r="A57" s="1"/>
      <x:c r="B57" s="1"/>
      <x:c r="C57" s="1"/>
      <x:c r="D57" s="1"/>
      <x:c r="E57" s="1"/>
      <x:c r="F57" s="1"/>
      <x:c r="G57" s="1"/>
      <x:c r="H57" s="1"/>
      <x:c r="I57" s="1"/>
      <x:c r="J57" s="1"/>
      <x:c r="K57" s="1"/>
      <x:c r="L57" s="1"/>
      <x:c r="M57" s="1"/>
      <x:c r="N57" s="1"/>
      <x:c r="O57" s="1"/>
      <x:c r="P57" s="1"/>
      <x:c r="Q57" s="1"/>
    </x:row>
    <x:row r="58">
      <x:c r="A58" s="1"/>
      <x:c r="B58" s="1"/>
      <x:c r="C58" s="1"/>
      <x:c r="D58" s="1"/>
      <x:c r="E58" s="1"/>
      <x:c r="F58" s="1"/>
      <x:c r="G58" s="1"/>
      <x:c r="H58" s="1"/>
      <x:c r="I58" s="1"/>
      <x:c r="J58" s="1"/>
      <x:c r="K58" s="1"/>
      <x:c r="L58" s="1"/>
      <x:c r="M58" s="1"/>
      <x:c r="N58" s="1"/>
      <x:c r="O58" s="1"/>
      <x:c r="P58" s="1"/>
      <x:c r="Q58" s="1"/>
    </x:row>
    <x:row r="59">
      <x:c r="A59" s="1"/>
      <x:c r="B59" s="1"/>
      <x:c r="C59" s="1"/>
      <x:c r="D59" s="1"/>
      <x:c r="E59" s="1"/>
      <x:c r="F59" s="1"/>
      <x:c r="G59" s="1"/>
      <x:c r="H59" s="1"/>
      <x:c r="I59" s="1"/>
      <x:c r="J59" s="1"/>
      <x:c r="K59" s="1"/>
      <x:c r="L59" s="1"/>
      <x:c r="M59" s="1"/>
      <x:c r="N59" s="1"/>
      <x:c r="O59" s="1"/>
      <x:c r="P59" s="1"/>
      <x:c r="Q59" s="1"/>
    </x:row>
    <x:row r="60">
      <x:c r="A60" s="1"/>
      <x:c r="B60" s="1"/>
      <x:c r="C60" s="1"/>
      <x:c r="D60" s="1"/>
      <x:c r="E60" s="1"/>
      <x:c r="F60" s="1"/>
      <x:c r="G60" s="1"/>
      <x:c r="H60" s="1"/>
      <x:c r="I60" s="1"/>
      <x:c r="J60" s="1"/>
      <x:c r="K60" s="1"/>
      <x:c r="L60" s="1"/>
      <x:c r="M60" s="1"/>
      <x:c r="N60" s="1"/>
      <x:c r="O60" s="1"/>
      <x:c r="P60" s="1"/>
      <x:c r="Q60" s="1"/>
    </x:row>
  </x:sheetData>
  <x:mergeCells>
    <x:mergeCell ref="A1:F2"/>
    <x:mergeCell ref="A3:F4"/>
    <x:mergeCell ref="A14:F14"/>
    <x:mergeCell ref="B15:F15"/>
    <x:mergeCell ref="B16:F16"/>
    <x:mergeCell ref="B17:F17"/>
    <x:mergeCell ref="B18:F18"/>
    <x:mergeCell ref="B19:F19"/>
    <x:mergeCell ref="B20:F20"/>
    <x:mergeCell ref="B21:F21"/>
    <x:mergeCell ref="B22:F22"/>
  </x:mergeCells>
  <x:conditionalFormatting sqref="A7:F12">
    <x:cfRule type="expression" dxfId="11" priority="1">
      <x:formula>MOD(ROW(),2)=0</x:formula>
    </x:cfRule>
  </x:conditionalFormatting>
  <x:pageMargins left="0.7" right="0.7" top="0.75" bottom="0.75" header="0.3" footer="0.3"/>
</x:worksheet>
</file>